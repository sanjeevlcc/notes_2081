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MUHD\Downloads\"/>
    </mc:Choice>
  </mc:AlternateContent>
  <xr:revisionPtr revIDLastSave="0" documentId="13_ncr:1_{63C92118-4C34-4EB5-AB37-E4B22D25C06D}" xr6:coauthVersionLast="47" xr6:coauthVersionMax="47" xr10:uidLastSave="{00000000-0000-0000-0000-000000000000}"/>
  <bookViews>
    <workbookView xWindow="690" yWindow="270" windowWidth="17355" windowHeight="9600" activeTab="1" xr2:uid="{00000000-000D-0000-FFFF-FFFF00000000}"/>
  </bookViews>
  <sheets>
    <sheet name="LAB 3 DigitalMarketingData" sheetId="1" r:id="rId1"/>
    <sheet name="LAB 3 Assignments "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1" l="1"/>
  <c r="J11" i="1"/>
  <c r="I11" i="1"/>
  <c r="H11" i="1"/>
  <c r="G11" i="1"/>
  <c r="F11" i="1"/>
  <c r="K10" i="1"/>
  <c r="J10" i="1"/>
  <c r="I10" i="1"/>
  <c r="H10" i="1"/>
  <c r="G10" i="1"/>
  <c r="F10" i="1"/>
  <c r="K9" i="1"/>
  <c r="J9" i="1"/>
  <c r="I9" i="1"/>
  <c r="H9" i="1"/>
  <c r="G9" i="1"/>
  <c r="F9" i="1"/>
  <c r="K8" i="1"/>
  <c r="J8" i="1"/>
  <c r="I8" i="1"/>
  <c r="H8" i="1"/>
  <c r="G8" i="1"/>
  <c r="F8" i="1"/>
  <c r="K7" i="1"/>
  <c r="J7" i="1"/>
  <c r="I7" i="1"/>
  <c r="H7" i="1"/>
  <c r="G7" i="1"/>
  <c r="F7" i="1"/>
  <c r="K6" i="1"/>
  <c r="J6" i="1"/>
  <c r="I6" i="1"/>
  <c r="H6" i="1"/>
  <c r="G6" i="1"/>
  <c r="F6" i="1"/>
  <c r="K5" i="1"/>
  <c r="J5" i="1"/>
  <c r="I5" i="1"/>
  <c r="H5" i="1"/>
  <c r="G5" i="1"/>
  <c r="F5" i="1"/>
  <c r="K4" i="1"/>
  <c r="J4" i="1"/>
  <c r="I4" i="1"/>
  <c r="H4" i="1"/>
  <c r="G4" i="1"/>
  <c r="F4" i="1"/>
  <c r="K3" i="1"/>
  <c r="J3" i="1"/>
  <c r="I3" i="1"/>
  <c r="H3" i="1"/>
  <c r="G3" i="1"/>
  <c r="F3" i="1"/>
  <c r="K2" i="1"/>
  <c r="J2" i="1"/>
  <c r="I2" i="1"/>
  <c r="H2" i="1"/>
  <c r="G2" i="1"/>
  <c r="F2" i="1"/>
</calcChain>
</file>

<file path=xl/sharedStrings.xml><?xml version="1.0" encoding="utf-8"?>
<sst xmlns="http://schemas.openxmlformats.org/spreadsheetml/2006/main" count="17" uniqueCount="17">
  <si>
    <t>Day</t>
  </si>
  <si>
    <t>Ad Spend (NPR)</t>
  </si>
  <si>
    <t>Website Visits</t>
  </si>
  <si>
    <t>Leads</t>
  </si>
  <si>
    <t>Orders</t>
  </si>
  <si>
    <t>Visit→Lead Conv</t>
  </si>
  <si>
    <t>Lead→Order Conv</t>
  </si>
  <si>
    <t>Visit→Order Conv</t>
  </si>
  <si>
    <t>Cost per Visit</t>
  </si>
  <si>
    <t>Cost per Lead</t>
  </si>
  <si>
    <t>Cost per Order</t>
  </si>
  <si>
    <t>📘 PART 1 — DATA ENTRY (Already Completed in Your File)
Your dataset contains:
Facebook Ad Spend (NPR)
Website Visits
Leads
Orders
Conversion calculations
Cost calculations</t>
  </si>
  <si>
    <t>## 📌 PART 2 — REQUIRED EXCEL FORMULAS
Enter these formulas EXACTLY:
### 1. Visit → Lead Conversion
= D2 / C2
### 2. Lead → Order Conversion
= E2 / D2
### 3. Visit → Order Conversion
= E2 / C2
### 4. Cost per Visit
= B2 / C2
### 5. Cost per Lead
= B2 / D2
### 6. Cost per Order
(Most important metric)
= B2 / E2
### 7. Average Orders
=AVERAGE(E2:E11)
### 8. Correlation (Relationship Strength)
Ad Spend vs Orders
=CORREL(B2:B11, E2:E11)
Website Visits vs Orders
=CORREL(C2:C11, E2:E11)
Leads vs Orders
=CORREL(D2:D11, E2:E11)</t>
  </si>
  <si>
    <t>## 📊 PART 3 — VISUALIZATION TASKS
### 📌 Chart 1 — Line Chart (Trend Over Time)
Columns to highlight:
Day
Website Visits
Leads
Orders
Insert → Line Chart
Give title: Daily Marketing Performance Trend
### 📌 Chart 2 — Column Chart (Daily Orders)
Highlight:
Day
Orders
Insert → Column Chart
Title: New Customers Per Day
### 📌 Chart 3 — Scatter Plot (Ad Spend → Orders)
Highlight:
Ad Spend
Orders
Insert → Scatter Chart
Right-click → Add Trendline
Check both:
✔ Show Equation
✔ Display R² Value
Interpretation Expected:
Does increasing ad spend increase orders?
### 📌 Chart 4 — Funnel Chart (Visitors → Leads → Orders)
Create this table:
Stage	Count
Website Visits	=SUM(C2:C11)
Leads	=SUM(D2:D11)
Orders	=SUM(E2:E11)
Highlight → Insert → Funnel
## 🔍 PART 4 — ANALYSIS QUESTIONS (Students Must Answer)
Q1. What is the average Visit → Order conversion rate?
(Use formula results)
Q2. Which metric has the strongest correlation with Orders?
(Interpret CORREL results)
Q3. Is Cost per Order increasing, decreasing, or stable?
(Observe Column K)
Q4. Which day had the best marketing performance? Why?</t>
  </si>
  <si>
    <t>## 📘 PART 5 — SWOT ANALYSIS (Based on Your Excel Output)
Students must fill in:
🟩 Strengths (Use correlation, low CPO, lead trends)
Example: Strong positive relation between spend and orders.
🟨 Weaknesses (Low conversion rate, rising CPO)
🟦 Opportunities (Growing digital adoption, retargeting potential)
🟥 Threats (Increasing CPC/competition)</t>
  </si>
  <si>
    <t>## 🔮 PART 6 — FORECASTING IN EXCEL
### 📌 Task 1 — Forecast Orders for Day 11
Use:
=FORECAST.LINEAR(11, E2:E11, A2:A11)
### 📌 Task 2 — Forecast Orders for Ad Spend NPR 7000
=FORECAST.LINEAR(7000, E2:E11, B2:B11)
### 📌 Task 3 — Interpret Trendline Equation
From Scatter → Trendline
You will see something like:
Orders = 0.0048 * AdSpend + 1.5
Students must answer:
What does the slope mean?
If SastoBazar spends 10,000 NPR, how many orders will they get?
Formula: =0.0048 * 10000 + 1.5</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</si>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</sst>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0" fillId="0" borderId="1" xfId="0" applyBorder="1"/>
    <xf numFmtId="0" fontId="1" fillId="2" borderId="1" xfId="0" applyFont="1" applyFill="1" applyBorder="1"/>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zoomScale="85" zoomScaleNormal="85" workbookViewId="0">
      <selection activeCell="D8" sqref="A1:K11"/>
    </sheetView>
  </sheetViews>
  <sheetFormatPr defaultRowHeight="15" x14ac:dyDescent="0.25"/>
  <cols>
    <col min="2" max="2" width="21.85546875" customWidth="1"/>
    <col min="3" max="3" width="22.7109375" customWidth="1"/>
    <col min="4" max="4" width="15.42578125" customWidth="1"/>
    <col min="5" max="5" width="16.140625" customWidth="1"/>
    <col min="6" max="6" width="18.28515625" customWidth="1"/>
    <col min="7" max="7" width="21.28515625" customWidth="1"/>
    <col min="8" max="8" width="20.42578125" customWidth="1"/>
    <col min="9" max="9" width="19.5703125" customWidth="1"/>
    <col min="10" max="10" width="18" customWidth="1"/>
    <col min="11" max="11" width="19.28515625" customWidth="1"/>
  </cols>
  <sheetData>
    <row r="1" spans="1:11" s="3" customFormat="1" ht="15.75" x14ac:dyDescent="0.25">
      <c r="A1" s="2" t="s">
        <v>0</v>
      </c>
      <c r="B1" s="2" t="s">
        <v>1</v>
      </c>
      <c r="C1" s="2" t="s">
        <v>2</v>
      </c>
      <c r="D1" s="2" t="s">
        <v>3</v>
      </c>
      <c r="E1" s="2" t="s">
        <v>4</v>
      </c>
      <c r="F1" s="3" t="s">
        <v>5</v>
      </c>
      <c r="G1" s="3" t="s">
        <v>6</v>
      </c>
      <c r="H1" s="3" t="s">
        <v>7</v>
      </c>
      <c r="I1" s="3" t="s">
        <v>8</v>
      </c>
      <c r="J1" s="3" t="s">
        <v>9</v>
      </c>
      <c r="K1" s="3" t="s">
        <v>10</v>
      </c>
    </row>
    <row r="2" spans="1:11" x14ac:dyDescent="0.25">
      <c r="A2" s="1">
        <v>1</v>
      </c>
      <c r="B2" s="1">
        <v>1000</v>
      </c>
      <c r="C2" s="1">
        <v>450</v>
      </c>
      <c r="D2" s="1">
        <v>30</v>
      </c>
      <c r="E2" s="1">
        <v>6</v>
      </c>
      <c r="F2">
        <f t="shared" ref="F2:F11" si="0">D2/C2</f>
        <v>6.6666666666666666E-2</v>
      </c>
      <c r="G2">
        <f t="shared" ref="G2:G11" si="1">E2/D2</f>
        <v>0.2</v>
      </c>
      <c r="H2">
        <f t="shared" ref="H2:H11" si="2">E2/C2</f>
        <v>1.3333333333333334E-2</v>
      </c>
      <c r="I2">
        <f t="shared" ref="I2:I11" si="3">B2/C2</f>
        <v>2.2222222222222223</v>
      </c>
      <c r="J2">
        <f t="shared" ref="J2:J11" si="4">B2/D2</f>
        <v>33.333333333333336</v>
      </c>
      <c r="K2">
        <f t="shared" ref="K2:K11" si="5">B2/E2</f>
        <v>166.66666666666666</v>
      </c>
    </row>
    <row r="3" spans="1:11" x14ac:dyDescent="0.25">
      <c r="A3" s="1">
        <v>2</v>
      </c>
      <c r="B3" s="1">
        <v>1500</v>
      </c>
      <c r="C3" s="1">
        <v>600</v>
      </c>
      <c r="D3" s="1">
        <v>38</v>
      </c>
      <c r="E3" s="1">
        <v>8</v>
      </c>
      <c r="F3">
        <f t="shared" si="0"/>
        <v>6.3333333333333339E-2</v>
      </c>
      <c r="G3">
        <f t="shared" si="1"/>
        <v>0.21052631578947367</v>
      </c>
      <c r="H3">
        <f t="shared" si="2"/>
        <v>1.3333333333333334E-2</v>
      </c>
      <c r="I3">
        <f t="shared" si="3"/>
        <v>2.5</v>
      </c>
      <c r="J3">
        <f t="shared" si="4"/>
        <v>39.473684210526315</v>
      </c>
      <c r="K3">
        <f t="shared" si="5"/>
        <v>187.5</v>
      </c>
    </row>
    <row r="4" spans="1:11" x14ac:dyDescent="0.25">
      <c r="A4" s="1">
        <v>3</v>
      </c>
      <c r="B4" s="1">
        <v>2000</v>
      </c>
      <c r="C4" s="1">
        <v>750</v>
      </c>
      <c r="D4" s="1">
        <v>45</v>
      </c>
      <c r="E4" s="1">
        <v>10</v>
      </c>
      <c r="F4">
        <f t="shared" si="0"/>
        <v>0.06</v>
      </c>
      <c r="G4">
        <f t="shared" si="1"/>
        <v>0.22222222222222221</v>
      </c>
      <c r="H4">
        <f t="shared" si="2"/>
        <v>1.3333333333333334E-2</v>
      </c>
      <c r="I4">
        <f t="shared" si="3"/>
        <v>2.6666666666666665</v>
      </c>
      <c r="J4">
        <f t="shared" si="4"/>
        <v>44.444444444444443</v>
      </c>
      <c r="K4">
        <f t="shared" si="5"/>
        <v>200</v>
      </c>
    </row>
    <row r="5" spans="1:11" x14ac:dyDescent="0.25">
      <c r="A5" s="1">
        <v>4</v>
      </c>
      <c r="B5" s="1">
        <v>2500</v>
      </c>
      <c r="C5" s="1">
        <v>900</v>
      </c>
      <c r="D5" s="1">
        <v>52</v>
      </c>
      <c r="E5" s="1">
        <v>12</v>
      </c>
      <c r="F5">
        <f t="shared" si="0"/>
        <v>5.7777777777777775E-2</v>
      </c>
      <c r="G5">
        <f t="shared" si="1"/>
        <v>0.23076923076923078</v>
      </c>
      <c r="H5">
        <f t="shared" si="2"/>
        <v>1.3333333333333334E-2</v>
      </c>
      <c r="I5">
        <f t="shared" si="3"/>
        <v>2.7777777777777777</v>
      </c>
      <c r="J5">
        <f t="shared" si="4"/>
        <v>48.07692307692308</v>
      </c>
      <c r="K5">
        <f t="shared" si="5"/>
        <v>208.33333333333334</v>
      </c>
    </row>
    <row r="6" spans="1:11" x14ac:dyDescent="0.25">
      <c r="A6" s="1">
        <v>5</v>
      </c>
      <c r="B6" s="1">
        <v>3000</v>
      </c>
      <c r="C6" s="1">
        <v>1100</v>
      </c>
      <c r="D6" s="1">
        <v>60</v>
      </c>
      <c r="E6" s="1">
        <v>15</v>
      </c>
      <c r="F6">
        <f t="shared" si="0"/>
        <v>5.4545454545454543E-2</v>
      </c>
      <c r="G6">
        <f t="shared" si="1"/>
        <v>0.25</v>
      </c>
      <c r="H6">
        <f t="shared" si="2"/>
        <v>1.3636363636363636E-2</v>
      </c>
      <c r="I6">
        <f t="shared" si="3"/>
        <v>2.7272727272727271</v>
      </c>
      <c r="J6">
        <f t="shared" si="4"/>
        <v>50</v>
      </c>
      <c r="K6">
        <f t="shared" si="5"/>
        <v>200</v>
      </c>
    </row>
    <row r="7" spans="1:11" x14ac:dyDescent="0.25">
      <c r="A7" s="1">
        <v>6</v>
      </c>
      <c r="B7" s="1">
        <v>3500</v>
      </c>
      <c r="C7" s="1">
        <v>1300</v>
      </c>
      <c r="D7" s="1">
        <v>68</v>
      </c>
      <c r="E7" s="1">
        <v>17</v>
      </c>
      <c r="F7">
        <f t="shared" si="0"/>
        <v>5.2307692307692305E-2</v>
      </c>
      <c r="G7">
        <f t="shared" si="1"/>
        <v>0.25</v>
      </c>
      <c r="H7">
        <f t="shared" si="2"/>
        <v>1.3076923076923076E-2</v>
      </c>
      <c r="I7">
        <f t="shared" si="3"/>
        <v>2.6923076923076925</v>
      </c>
      <c r="J7">
        <f t="shared" si="4"/>
        <v>51.470588235294116</v>
      </c>
      <c r="K7">
        <f t="shared" si="5"/>
        <v>205.88235294117646</v>
      </c>
    </row>
    <row r="8" spans="1:11" x14ac:dyDescent="0.25">
      <c r="A8" s="1">
        <v>7</v>
      </c>
      <c r="B8" s="1">
        <v>4000</v>
      </c>
      <c r="C8" s="1">
        <v>1500</v>
      </c>
      <c r="D8" s="1">
        <v>75</v>
      </c>
      <c r="E8" s="1">
        <v>20</v>
      </c>
      <c r="F8">
        <f t="shared" si="0"/>
        <v>0.05</v>
      </c>
      <c r="G8">
        <f t="shared" si="1"/>
        <v>0.26666666666666666</v>
      </c>
      <c r="H8">
        <f t="shared" si="2"/>
        <v>1.3333333333333334E-2</v>
      </c>
      <c r="I8">
        <f t="shared" si="3"/>
        <v>2.6666666666666665</v>
      </c>
      <c r="J8">
        <f t="shared" si="4"/>
        <v>53.333333333333336</v>
      </c>
      <c r="K8">
        <f t="shared" si="5"/>
        <v>200</v>
      </c>
    </row>
    <row r="9" spans="1:11" x14ac:dyDescent="0.25">
      <c r="A9" s="1">
        <v>8</v>
      </c>
      <c r="B9" s="1">
        <v>4500</v>
      </c>
      <c r="C9" s="1">
        <v>1800</v>
      </c>
      <c r="D9" s="1">
        <v>82</v>
      </c>
      <c r="E9" s="1">
        <v>23</v>
      </c>
      <c r="F9">
        <f t="shared" si="0"/>
        <v>4.5555555555555557E-2</v>
      </c>
      <c r="G9">
        <f t="shared" si="1"/>
        <v>0.28048780487804881</v>
      </c>
      <c r="H9">
        <f t="shared" si="2"/>
        <v>1.2777777777777779E-2</v>
      </c>
      <c r="I9">
        <f t="shared" si="3"/>
        <v>2.5</v>
      </c>
      <c r="J9">
        <f t="shared" si="4"/>
        <v>54.878048780487802</v>
      </c>
      <c r="K9">
        <f t="shared" si="5"/>
        <v>195.65217391304347</v>
      </c>
    </row>
    <row r="10" spans="1:11" x14ac:dyDescent="0.25">
      <c r="A10" s="1">
        <v>9</v>
      </c>
      <c r="B10" s="1">
        <v>5000</v>
      </c>
      <c r="C10" s="1">
        <v>2000</v>
      </c>
      <c r="D10" s="1">
        <v>90</v>
      </c>
      <c r="E10" s="1">
        <v>25</v>
      </c>
      <c r="F10">
        <f t="shared" si="0"/>
        <v>4.4999999999999998E-2</v>
      </c>
      <c r="G10">
        <f t="shared" si="1"/>
        <v>0.27777777777777779</v>
      </c>
      <c r="H10">
        <f t="shared" si="2"/>
        <v>1.2500000000000001E-2</v>
      </c>
      <c r="I10">
        <f t="shared" si="3"/>
        <v>2.5</v>
      </c>
      <c r="J10">
        <f t="shared" si="4"/>
        <v>55.555555555555557</v>
      </c>
      <c r="K10">
        <f t="shared" si="5"/>
        <v>200</v>
      </c>
    </row>
    <row r="11" spans="1:11" x14ac:dyDescent="0.25">
      <c r="A11" s="1">
        <v>10</v>
      </c>
      <c r="B11" s="1">
        <v>6000</v>
      </c>
      <c r="C11" s="1">
        <v>2400</v>
      </c>
      <c r="D11" s="1">
        <v>105</v>
      </c>
      <c r="E11" s="1">
        <v>30</v>
      </c>
      <c r="F11">
        <f t="shared" si="0"/>
        <v>4.3749999999999997E-2</v>
      </c>
      <c r="G11">
        <f t="shared" si="1"/>
        <v>0.2857142857142857</v>
      </c>
      <c r="H11">
        <f t="shared" si="2"/>
        <v>1.2500000000000001E-2</v>
      </c>
      <c r="I11">
        <f t="shared" si="3"/>
        <v>2.5</v>
      </c>
      <c r="J11">
        <f t="shared" si="4"/>
        <v>57.142857142857146</v>
      </c>
      <c r="K11">
        <f t="shared" si="5"/>
        <v>200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15ADC-DAE9-4715-8D12-CA395B955AA7}">
  <dimension ref="B3:B89"/>
  <sheetViews>
    <sheetView tabSelected="1" topLeftCell="A153" workbookViewId="0">
      <selection activeCell="A89" sqref="A89"/>
    </sheetView>
  </sheetViews>
  <sheetFormatPr defaultRowHeight="15" x14ac:dyDescent="0.25"/>
  <cols>
    <col min="2" max="2" width="124.85546875" customWidth="1"/>
  </cols>
  <sheetData>
    <row r="3" spans="2:2" ht="297" customHeight="1" x14ac:dyDescent="0.25">
      <c r="B3" s="4" t="s">
        <v>11</v>
      </c>
    </row>
    <row r="10" spans="2:2" ht="409.5" x14ac:dyDescent="0.25">
      <c r="B10" s="4" t="s">
        <v>12</v>
      </c>
    </row>
    <row r="20" spans="2:2" ht="409.5" x14ac:dyDescent="0.25">
      <c r="B20" s="4" t="s">
        <v>13</v>
      </c>
    </row>
    <row r="21" spans="2:2" x14ac:dyDescent="0.25">
      <c r="B21" s="4"/>
    </row>
    <row r="40" spans="2:2" ht="165" x14ac:dyDescent="0.25">
      <c r="B40" s="4" t="s">
        <v>14</v>
      </c>
    </row>
    <row r="63" spans="2:2" ht="270" x14ac:dyDescent="0.25">
      <c r="B63" s="4" t="s">
        <v>15</v>
      </c>
    </row>
    <row r="89" spans="2:2" x14ac:dyDescent="0.25">
      <c r="B89" s="4"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 3 DigitalMarketingData</vt:lpstr>
      <vt:lpstr>LAB 3 Assignments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Sanjeev Thapa</cp:lastModifiedBy>
  <dcterms:created xsi:type="dcterms:W3CDTF">2025-12-11T22:51:03Z</dcterms:created>
  <dcterms:modified xsi:type="dcterms:W3CDTF">2025-12-11T23:06:38Z</dcterms:modified>
</cp:coreProperties>
</file>