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AMUHD\Downloads\"/>
    </mc:Choice>
  </mc:AlternateContent>
  <xr:revisionPtr revIDLastSave="0" documentId="13_ncr:1_{E1810F54-62B3-434D-8461-DA0112C8D9D2}" xr6:coauthVersionLast="47" xr6:coauthVersionMax="47" xr10:uidLastSave="{00000000-0000-0000-0000-000000000000}"/>
  <bookViews>
    <workbookView xWindow="0" yWindow="300" windowWidth="17355" windowHeight="9600" firstSheet="4" activeTab="7" xr2:uid="{624DD40B-21C6-402B-82E0-2585288EBD5B}"/>
  </bookViews>
  <sheets>
    <sheet name="Lab 1" sheetId="1" r:id="rId1"/>
    <sheet name="Lab 1 Questions" sheetId="3" r:id="rId2"/>
    <sheet name="Lab 2 Annapurna" sheetId="2" r:id="rId3"/>
    <sheet name="Lab 2 questuions" sheetId="4" r:id="rId4"/>
    <sheet name="Lab 3" sheetId="5" r:id="rId5"/>
    <sheet name="Lab 3 Questions" sheetId="6" r:id="rId6"/>
    <sheet name="Lab 4 Stat" sheetId="7" r:id="rId7"/>
    <sheet name="Lab 4 Questions" sheetId="8"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 i="5" l="1"/>
  <c r="H12" i="5" s="1"/>
  <c r="F13" i="5"/>
  <c r="F14" i="5"/>
  <c r="F15" i="5"/>
  <c r="H15" i="5" s="1"/>
  <c r="F16" i="5"/>
  <c r="F17" i="5"/>
  <c r="H17" i="5" s="1"/>
  <c r="F18" i="5"/>
  <c r="F19" i="5"/>
  <c r="H19" i="5" s="1"/>
  <c r="F20" i="5"/>
  <c r="F21" i="5"/>
  <c r="H13" i="5"/>
  <c r="H14" i="5"/>
  <c r="H16" i="5"/>
  <c r="H18" i="5"/>
  <c r="H20" i="5"/>
  <c r="H21" i="5"/>
  <c r="H9" i="5"/>
  <c r="H3" i="5"/>
  <c r="F7" i="5"/>
  <c r="H7" i="5" s="1"/>
  <c r="F8" i="5"/>
  <c r="F9" i="5"/>
  <c r="F10" i="5"/>
  <c r="H10" i="5" s="1"/>
  <c r="F11" i="5"/>
  <c r="H11" i="5" s="1"/>
  <c r="F6" i="5"/>
  <c r="H6" i="5" s="1"/>
  <c r="F3" i="5"/>
  <c r="F4" i="5"/>
  <c r="H4" i="5" s="1"/>
  <c r="F5" i="5"/>
  <c r="H5" i="5" s="1"/>
  <c r="F2" i="5"/>
  <c r="H2" i="5" s="1"/>
  <c r="F2" i="2"/>
  <c r="F3" i="2"/>
  <c r="F4" i="2"/>
  <c r="F5" i="2"/>
  <c r="F6" i="2"/>
  <c r="M9" i="1"/>
  <c r="M10" i="1"/>
  <c r="M11" i="1"/>
  <c r="M12" i="1"/>
  <c r="M13" i="1"/>
  <c r="M14" i="1"/>
  <c r="M15" i="1"/>
  <c r="M16" i="1"/>
  <c r="M17" i="1"/>
  <c r="M18" i="1"/>
  <c r="M19" i="1"/>
  <c r="M20" i="1"/>
  <c r="M21" i="1"/>
  <c r="M22" i="1"/>
  <c r="M23" i="1"/>
  <c r="M8" i="1"/>
  <c r="L9" i="1"/>
  <c r="L10" i="1"/>
  <c r="L11" i="1"/>
  <c r="L12" i="1"/>
  <c r="L13" i="1"/>
  <c r="L14" i="1"/>
  <c r="L15" i="1"/>
  <c r="L16" i="1"/>
  <c r="L17" i="1"/>
  <c r="L18" i="1"/>
  <c r="L19" i="1"/>
  <c r="L20" i="1"/>
  <c r="L21" i="1"/>
  <c r="L22" i="1"/>
  <c r="L8" i="1"/>
  <c r="C47" i="3"/>
  <c r="C58" i="3"/>
  <c r="K9" i="1"/>
  <c r="K10" i="1"/>
  <c r="K11" i="1"/>
  <c r="K12" i="1"/>
  <c r="K13" i="1"/>
  <c r="K14" i="1"/>
  <c r="K16" i="1"/>
  <c r="K17" i="1"/>
  <c r="J9" i="1"/>
  <c r="J10" i="1"/>
  <c r="J11" i="1"/>
  <c r="J12" i="1"/>
  <c r="J13" i="1"/>
  <c r="J14" i="1"/>
  <c r="J15" i="1"/>
  <c r="K15" i="1" s="1"/>
  <c r="J16" i="1"/>
  <c r="J17" i="1"/>
  <c r="J18" i="1"/>
  <c r="K18" i="1" s="1"/>
  <c r="J8" i="1"/>
  <c r="K8" i="1" s="1"/>
  <c r="I12" i="1"/>
  <c r="I16" i="1"/>
  <c r="H9" i="1"/>
  <c r="I9" i="1" s="1"/>
  <c r="H10" i="1"/>
  <c r="I10" i="1" s="1"/>
  <c r="H11" i="1"/>
  <c r="I11" i="1" s="1"/>
  <c r="H12" i="1"/>
  <c r="H13" i="1"/>
  <c r="I13" i="1" s="1"/>
  <c r="H14" i="1"/>
  <c r="I14" i="1" s="1"/>
  <c r="H15" i="1"/>
  <c r="I15" i="1" s="1"/>
  <c r="H16" i="1"/>
  <c r="H17" i="1"/>
  <c r="I17" i="1" s="1"/>
  <c r="H18" i="1"/>
  <c r="I18" i="1" s="1"/>
  <c r="H8" i="1"/>
  <c r="I8" i="1" s="1"/>
  <c r="H8" i="5" l="1"/>
</calcChain>
</file>

<file path=xl/sharedStrings.xml><?xml version="1.0" encoding="utf-8"?>
<sst xmlns="http://schemas.openxmlformats.org/spreadsheetml/2006/main" count="377" uniqueCount="343">
  <si>
    <t>A</t>
  </si>
  <si>
    <t>B</t>
  </si>
  <si>
    <t>C</t>
  </si>
  <si>
    <t>D</t>
  </si>
  <si>
    <t>E</t>
  </si>
  <si>
    <t>F</t>
  </si>
  <si>
    <t>Name</t>
  </si>
  <si>
    <t>Maths</t>
  </si>
  <si>
    <t>Nepali</t>
  </si>
  <si>
    <t>English</t>
  </si>
  <si>
    <t>Computer</t>
  </si>
  <si>
    <t>Economics</t>
  </si>
  <si>
    <t>Total</t>
  </si>
  <si>
    <t>Percentage</t>
  </si>
  <si>
    <t>Result</t>
  </si>
  <si>
    <t>Division</t>
  </si>
  <si>
    <t>Sno</t>
  </si>
  <si>
    <t>Ram</t>
  </si>
  <si>
    <t>SUM(B2:F2)</t>
  </si>
  <si>
    <t>total * 100 / 500</t>
  </si>
  <si>
    <t>IF(AND(B2&gt;=40,C2&gt;=40,D2&gt;=40,E2&gt;=40,F2&gt;=40),"Pass","Fail"</t>
  </si>
  <si>
    <t>IF(I2="Fail","Fail",
   IF(H2&gt;=80,"Distinction",
   IF(H2&gt;=60,"First",
   IF(H2&gt;=45,"Second",
   IF(H2&gt;=35,"Third","Fail")))))</t>
  </si>
  <si>
    <t>Xyz Eng Boarding School</t>
  </si>
  <si>
    <t>Sita</t>
  </si>
  <si>
    <t>Hari</t>
  </si>
  <si>
    <t>Muna Kc</t>
  </si>
  <si>
    <t>Rajan Thapa</t>
  </si>
  <si>
    <t>Gagan Thapa</t>
  </si>
  <si>
    <t>Sovit Aryal</t>
  </si>
  <si>
    <t>Nishant Bhattrai</t>
  </si>
  <si>
    <r>
      <rPr>
        <b/>
        <sz val="11"/>
        <color rgb="FFFF0000"/>
        <rFont val="Aptos Narrow"/>
        <family val="2"/>
        <scheme val="minor"/>
      </rPr>
      <t>Task 1 — Compute Totals &amp; Percentages (with rounding)</t>
    </r>
    <r>
      <rPr>
        <sz val="11"/>
        <color theme="1"/>
        <rFont val="Aptos Narrow"/>
        <family val="2"/>
        <scheme val="minor"/>
      </rPr>
      <t xml:space="preserve">
</t>
    </r>
    <r>
      <rPr>
        <sz val="11"/>
        <color rgb="FFFF0000"/>
        <rFont val="Aptos Narrow"/>
        <family val="2"/>
        <scheme val="minor"/>
      </rPr>
      <t>a) Do:</t>
    </r>
    <r>
      <rPr>
        <sz val="11"/>
        <color theme="1"/>
        <rFont val="Aptos Narrow"/>
        <family val="2"/>
        <scheme val="minor"/>
      </rPr>
      <t xml:space="preserve">
Compute Total and Percentage for each row and copy down.
Round percentage to 1 decimal.
</t>
    </r>
    <r>
      <rPr>
        <sz val="11"/>
        <color rgb="FFFF0000"/>
        <rFont val="Aptos Narrow"/>
        <family val="2"/>
        <scheme val="minor"/>
      </rPr>
      <t>b) Formulas (Answer key):</t>
    </r>
    <r>
      <rPr>
        <sz val="11"/>
        <color theme="1"/>
        <rFont val="Aptos Narrow"/>
        <family val="2"/>
        <scheme val="minor"/>
      </rPr>
      <t xml:space="preserve">
H8 (Total):
=SUM(C8:G8)
I8 (Percentage, 1 decimal):
=ROUND(H8/5,1)</t>
    </r>
  </si>
  <si>
    <t>🧩 Do (Student Instructions):</t>
  </si>
  <si>
    <t>L: Grade Letter</t>
  </si>
  <si>
    <t>M: GPA (out of 4)</t>
  </si>
  <si>
    <t>🧠 Grade and GPA Mapping Table</t>
  </si>
  <si>
    <t>Percentage Range</t>
  </si>
  <si>
    <t>Grade</t>
  </si>
  <si>
    <t>GPA</t>
  </si>
  <si>
    <t>≥ 90</t>
  </si>
  <si>
    <t>A+</t>
  </si>
  <si>
    <t>80–89</t>
  </si>
  <si>
    <t>70–79</t>
  </si>
  <si>
    <t>A-</t>
  </si>
  <si>
    <t>60–69</t>
  </si>
  <si>
    <t>B+</t>
  </si>
  <si>
    <t>50–59</t>
  </si>
  <si>
    <t>40–49</t>
  </si>
  <si>
    <t>&lt; 40</t>
  </si>
  <si>
    <t>✅ Answer Key (Formula Setup)</t>
  </si>
  <si>
    <t>(1) Grade Letter</t>
  </si>
  <si>
    <t xml:space="preserve">   IF(I8&gt;=80,"A",</t>
  </si>
  <si>
    <t xml:space="preserve">   IF(I8&gt;=70,"A-",</t>
  </si>
  <si>
    <t xml:space="preserve">   IF(I8&gt;=60,"B+",</t>
  </si>
  <si>
    <t xml:space="preserve">   IF(I8&gt;=50,"B",</t>
  </si>
  <si>
    <t xml:space="preserve">   IF(I8&gt;=40,"C","D"))))))</t>
  </si>
  <si>
    <t>(2) GPA (out of 4)</t>
  </si>
  <si>
    <t xml:space="preserve">   IF(I8&gt;=80,3.7,</t>
  </si>
  <si>
    <t xml:space="preserve">   IF(I8&gt;=70,3.3,</t>
  </si>
  <si>
    <t xml:space="preserve">   IF(I8&gt;=60,3.0,</t>
  </si>
  <si>
    <t xml:space="preserve">   IF(I8&gt;=50,2.7,</t>
  </si>
  <si>
    <t xml:space="preserve">   IF(I8&gt;=40,2.0,1.0))))))</t>
  </si>
  <si>
    <t>(3) Average GPA (optional summary cell)</t>
  </si>
  <si>
    <t>At bottom of column M (e.g., M20):</t>
  </si>
  <si>
    <t>AVERAGE(M8:M18)</t>
  </si>
  <si>
    <r>
      <t xml:space="preserve">1. Add </t>
    </r>
    <r>
      <rPr>
        <b/>
        <sz val="11"/>
        <color rgb="FF002060"/>
        <rFont val="Aptos Narrow"/>
        <family val="2"/>
        <scheme val="minor"/>
      </rPr>
      <t>two new columns</t>
    </r>
    <r>
      <rPr>
        <sz val="11"/>
        <color rgb="FF002060"/>
        <rFont val="Aptos Narrow"/>
        <family val="2"/>
        <scheme val="minor"/>
      </rPr>
      <t xml:space="preserve"> after “Division”:</t>
    </r>
  </si>
  <si>
    <r>
      <t xml:space="preserve">2. Use logical formulas to assign </t>
    </r>
    <r>
      <rPr>
        <b/>
        <sz val="11"/>
        <color rgb="FF002060"/>
        <rFont val="Aptos Narrow"/>
        <family val="2"/>
        <scheme val="minor"/>
      </rPr>
      <t>grade letters and GPA values</t>
    </r>
    <r>
      <rPr>
        <sz val="11"/>
        <color rgb="FF002060"/>
        <rFont val="Aptos Narrow"/>
        <family val="2"/>
        <scheme val="minor"/>
      </rPr>
      <t xml:space="preserve"> based on </t>
    </r>
    <r>
      <rPr>
        <b/>
        <sz val="11"/>
        <color rgb="FF002060"/>
        <rFont val="Aptos Narrow"/>
        <family val="2"/>
        <scheme val="minor"/>
      </rPr>
      <t>percentage</t>
    </r>
    <r>
      <rPr>
        <sz val="11"/>
        <color rgb="FF002060"/>
        <rFont val="Aptos Narrow"/>
        <family val="2"/>
        <scheme val="minor"/>
      </rPr>
      <t>.</t>
    </r>
  </si>
  <si>
    <r>
      <t xml:space="preserve">3. Verify that the </t>
    </r>
    <r>
      <rPr>
        <b/>
        <sz val="11"/>
        <color rgb="FF002060"/>
        <rFont val="Aptos Narrow"/>
        <family val="2"/>
        <scheme val="minor"/>
      </rPr>
      <t>average GPA</t>
    </r>
    <r>
      <rPr>
        <sz val="11"/>
        <color rgb="FF002060"/>
        <rFont val="Aptos Narrow"/>
        <family val="2"/>
        <scheme val="minor"/>
      </rPr>
      <t xml:space="preserve"> of all students is correct.</t>
    </r>
  </si>
  <si>
    <r>
      <t xml:space="preserve">In </t>
    </r>
    <r>
      <rPr>
        <b/>
        <sz val="11"/>
        <color rgb="FF002060"/>
        <rFont val="Aptos Narrow"/>
        <family val="2"/>
        <scheme val="minor"/>
      </rPr>
      <t>L8</t>
    </r>
    <r>
      <rPr>
        <sz val="11"/>
        <color rgb="FF002060"/>
        <rFont val="Aptos Narrow"/>
        <family val="2"/>
        <scheme val="minor"/>
      </rPr>
      <t>:</t>
    </r>
  </si>
  <si>
    <r>
      <t xml:space="preserve">In </t>
    </r>
    <r>
      <rPr>
        <b/>
        <sz val="11"/>
        <color rgb="FF002060"/>
        <rFont val="Aptos Narrow"/>
        <family val="2"/>
        <scheme val="minor"/>
      </rPr>
      <t>M8</t>
    </r>
    <r>
      <rPr>
        <sz val="11"/>
        <color rgb="FF002060"/>
        <rFont val="Aptos Narrow"/>
        <family val="2"/>
        <scheme val="minor"/>
      </rPr>
      <t>:</t>
    </r>
  </si>
  <si>
    <t>Task 2 – GPA Calculation (4.0 Scale)</t>
  </si>
  <si>
    <t>🧮 Challenge Extension for Students — GPA Highlights and Topper</t>
  </si>
  <si>
    <t>🎨 1. Conditional Formatting for GPA</t>
  </si>
  <si>
    <t>Objective:</t>
  </si>
  <si>
    <t>Highlight high and low GPAs visually:</t>
  </si>
  <si>
    <t>Steps:</t>
  </si>
  <si>
    <t>🏆 2. Text Box: “Student of the Month”</t>
  </si>
  <si>
    <t>Show the name of the top GPA scorer dynamically using a formula.</t>
  </si>
  <si>
    <t>Formula to find topper name:</t>
  </si>
  <si>
    <t>2. Type:</t>
  </si>
  <si>
    <t>🎖️ Student of the Month: Sita</t>
  </si>
  <si>
    <t>4. Optional:</t>
  </si>
  <si>
    <t>Copy this cell.</t>
  </si>
  <si>
    <t>Format it with a gold border and bold text.</t>
  </si>
  <si>
    <r>
      <t>Green fill</t>
    </r>
    <r>
      <rPr>
        <sz val="11"/>
        <color rgb="FF7030A0"/>
        <rFont val="Aptos Narrow"/>
        <family val="2"/>
        <scheme val="minor"/>
      </rPr>
      <t xml:space="preserve"> for GPA ≥ </t>
    </r>
    <r>
      <rPr>
        <b/>
        <sz val="11"/>
        <color rgb="FF7030A0"/>
        <rFont val="Aptos Narrow"/>
        <family val="2"/>
        <scheme val="minor"/>
      </rPr>
      <t>3.7</t>
    </r>
    <r>
      <rPr>
        <sz val="11"/>
        <color rgb="FF7030A0"/>
        <rFont val="Aptos Narrow"/>
        <family val="2"/>
        <scheme val="minor"/>
      </rPr>
      <t xml:space="preserve"> (Distinction)</t>
    </r>
  </si>
  <si>
    <r>
      <t>Red fill</t>
    </r>
    <r>
      <rPr>
        <sz val="11"/>
        <color rgb="FF7030A0"/>
        <rFont val="Aptos Narrow"/>
        <family val="2"/>
        <scheme val="minor"/>
      </rPr>
      <t xml:space="preserve"> for GPA &lt; </t>
    </r>
    <r>
      <rPr>
        <b/>
        <sz val="11"/>
        <color rgb="FF7030A0"/>
        <rFont val="Aptos Narrow"/>
        <family val="2"/>
        <scheme val="minor"/>
      </rPr>
      <t>2.0</t>
    </r>
    <r>
      <rPr>
        <sz val="11"/>
        <color rgb="FF7030A0"/>
        <rFont val="Aptos Narrow"/>
        <family val="2"/>
        <scheme val="minor"/>
      </rPr>
      <t xml:space="preserve"> (At Risk)</t>
    </r>
  </si>
  <si>
    <r>
      <t xml:space="preserve">1. Select the GPA column (e.g., </t>
    </r>
    <r>
      <rPr>
        <sz val="10"/>
        <color rgb="FF7030A0"/>
        <rFont val="Arial Unicode MS"/>
      </rPr>
      <t>L2:L31</t>
    </r>
    <r>
      <rPr>
        <sz val="11"/>
        <color rgb="FF7030A0"/>
        <rFont val="Aptos Narrow"/>
        <family val="2"/>
        <scheme val="minor"/>
      </rPr>
      <t>).</t>
    </r>
  </si>
  <si>
    <r>
      <t xml:space="preserve">2. Go to </t>
    </r>
    <r>
      <rPr>
        <b/>
        <sz val="11"/>
        <color rgb="FF7030A0"/>
        <rFont val="Aptos Narrow"/>
        <family val="2"/>
        <scheme val="minor"/>
      </rPr>
      <t>Home → Conditional Formatting → New Rule → Use a formula</t>
    </r>
    <r>
      <rPr>
        <sz val="11"/>
        <color rgb="FF7030A0"/>
        <rFont val="Aptos Narrow"/>
        <family val="2"/>
        <scheme val="minor"/>
      </rPr>
      <t>.</t>
    </r>
  </si>
  <si>
    <r>
      <t xml:space="preserve">3. Add the first formula for </t>
    </r>
    <r>
      <rPr>
        <i/>
        <sz val="11"/>
        <color rgb="FF7030A0"/>
        <rFont val="Aptos Narrow"/>
        <family val="2"/>
        <scheme val="minor"/>
      </rPr>
      <t>Distinction</t>
    </r>
    <r>
      <rPr>
        <sz val="11"/>
        <color rgb="FF7030A0"/>
        <rFont val="Aptos Narrow"/>
        <family val="2"/>
        <scheme val="minor"/>
      </rPr>
      <t>:</t>
    </r>
  </si>
  <si>
    <r>
      <t xml:space="preserve">Choose a </t>
    </r>
    <r>
      <rPr>
        <b/>
        <sz val="11"/>
        <color rgb="FF7030A0"/>
        <rFont val="Aptos Narrow"/>
        <family val="2"/>
        <scheme val="minor"/>
      </rPr>
      <t>green fill</t>
    </r>
    <r>
      <rPr>
        <sz val="11"/>
        <color rgb="FF7030A0"/>
        <rFont val="Aptos Narrow"/>
        <family val="2"/>
        <scheme val="minor"/>
      </rPr>
      <t>.</t>
    </r>
  </si>
  <si>
    <r>
      <t xml:space="preserve">4. Add another rule for </t>
    </r>
    <r>
      <rPr>
        <i/>
        <sz val="11"/>
        <color rgb="FF7030A0"/>
        <rFont val="Aptos Narrow"/>
        <family val="2"/>
        <scheme val="minor"/>
      </rPr>
      <t>At Risk</t>
    </r>
    <r>
      <rPr>
        <sz val="11"/>
        <color rgb="FF7030A0"/>
        <rFont val="Aptos Narrow"/>
        <family val="2"/>
        <scheme val="minor"/>
      </rPr>
      <t>:</t>
    </r>
  </si>
  <si>
    <r>
      <t xml:space="preserve">Choose a </t>
    </r>
    <r>
      <rPr>
        <b/>
        <sz val="11"/>
        <color rgb="FF7030A0"/>
        <rFont val="Aptos Narrow"/>
        <family val="2"/>
        <scheme val="minor"/>
      </rPr>
      <t>light red fill</t>
    </r>
    <r>
      <rPr>
        <sz val="11"/>
        <color rgb="FF7030A0"/>
        <rFont val="Aptos Narrow"/>
        <family val="2"/>
        <scheme val="minor"/>
      </rPr>
      <t>.</t>
    </r>
  </si>
  <si>
    <r>
      <t xml:space="preserve">5. Click </t>
    </r>
    <r>
      <rPr>
        <b/>
        <sz val="11"/>
        <color rgb="FF7030A0"/>
        <rFont val="Aptos Narrow"/>
        <family val="2"/>
        <scheme val="minor"/>
      </rPr>
      <t>OK</t>
    </r>
    <r>
      <rPr>
        <sz val="11"/>
        <color rgb="FF7030A0"/>
        <rFont val="Aptos Narrow"/>
        <family val="2"/>
        <scheme val="minor"/>
      </rPr>
      <t xml:space="preserve"> — now students can instantly see top and weak performers!</t>
    </r>
  </si>
  <si>
    <r>
      <t xml:space="preserve">1. Select any empty cell (say </t>
    </r>
    <r>
      <rPr>
        <sz val="10"/>
        <color rgb="FF7030A0"/>
        <rFont val="Arial Unicode MS"/>
      </rPr>
      <t>N3</t>
    </r>
    <r>
      <rPr>
        <sz val="11"/>
        <color rgb="FF7030A0"/>
        <rFont val="Aptos Narrow"/>
        <family val="2"/>
        <scheme val="minor"/>
      </rPr>
      <t>).</t>
    </r>
  </si>
  <si>
    <r>
      <t xml:space="preserve">3. Press </t>
    </r>
    <r>
      <rPr>
        <b/>
        <sz val="11"/>
        <color rgb="FF7030A0"/>
        <rFont val="Aptos Narrow"/>
        <family val="2"/>
        <scheme val="minor"/>
      </rPr>
      <t>Enter</t>
    </r>
    <r>
      <rPr>
        <sz val="11"/>
        <color rgb="FF7030A0"/>
        <rFont val="Aptos Narrow"/>
        <family val="2"/>
        <scheme val="minor"/>
      </rPr>
      <t xml:space="preserve"> — it will show something like:</t>
    </r>
  </si>
  <si>
    <r>
      <t xml:space="preserve">Go to </t>
    </r>
    <r>
      <rPr>
        <b/>
        <sz val="11"/>
        <color rgb="FF7030A0"/>
        <rFont val="Aptos Narrow"/>
        <family val="2"/>
        <scheme val="minor"/>
      </rPr>
      <t>Insert → Text Box → Paste Formula into Formula Bar</t>
    </r>
    <r>
      <rPr>
        <sz val="11"/>
        <color rgb="FF7030A0"/>
        <rFont val="Aptos Narrow"/>
        <family val="2"/>
        <scheme val="minor"/>
      </rPr>
      <t>.</t>
    </r>
  </si>
  <si>
    <t>L2&gt;=3.7</t>
  </si>
  <si>
    <t>L2&lt;2</t>
  </si>
  <si>
    <t>INDEX(A2:A31, MATCH(MAX(L2:L31), L2:L31, 0))</t>
  </si>
  <si>
    <t>"🎖️ Student of the Month: "&amp;INDEX(A2:A31, MATCH(MAX(L2:L31), L2:L31, 0))</t>
  </si>
  <si>
    <t>Grade1</t>
  </si>
  <si>
    <t>Grade2</t>
  </si>
  <si>
    <t>Mina</t>
  </si>
  <si>
    <t>Gita</t>
  </si>
  <si>
    <t>Rittu</t>
  </si>
  <si>
    <t>Nita</t>
  </si>
  <si>
    <t>Anil</t>
  </si>
  <si>
    <t>Jamuna</t>
  </si>
  <si>
    <t>Misti</t>
  </si>
  <si>
    <t>Customer Name</t>
  </si>
  <si>
    <t>Product</t>
  </si>
  <si>
    <t>Quantity</t>
  </si>
  <si>
    <t>Unit Price</t>
  </si>
  <si>
    <t>Total Amount</t>
  </si>
  <si>
    <t>Ram Traders</t>
  </si>
  <si>
    <t>Laptop</t>
  </si>
  <si>
    <t>Sita Store</t>
  </si>
  <si>
    <t>Printer</t>
  </si>
  <si>
    <t>Hari Suppliers</t>
  </si>
  <si>
    <t>Monitor</t>
  </si>
  <si>
    <t>Gagan Traders</t>
  </si>
  <si>
    <t>Mouse</t>
  </si>
  <si>
    <t>Kriti Dealers</t>
  </si>
  <si>
    <t>Keyboard</t>
  </si>
  <si>
    <t>Operation</t>
  </si>
  <si>
    <t>Formula</t>
  </si>
  <si>
    <t>Description</t>
  </si>
  <si>
    <t>Total Sales</t>
  </si>
  <si>
    <t>Adds all sales values.</t>
  </si>
  <si>
    <t>Average Sale</t>
  </si>
  <si>
    <t>Average of all sales.</t>
  </si>
  <si>
    <t>Highest Sale (Max)</t>
  </si>
  <si>
    <t>Finds the largest total.</t>
  </si>
  <si>
    <t>Lowest Sale (Min)</t>
  </si>
  <si>
    <t>Finds the smallest total.</t>
  </si>
  <si>
    <t>Total Quantity Sold</t>
  </si>
  <si>
    <t>Adds all quantities.</t>
  </si>
  <si>
    <t>Count of Transactions</t>
  </si>
  <si>
    <t>Counts customers (non-blank).</t>
  </si>
  <si>
    <t>SUM(F8:F12)</t>
  </si>
  <si>
    <t>AVERAGE(F8:F12)</t>
  </si>
  <si>
    <t>MAX(F8:F12)</t>
  </si>
  <si>
    <t>MIN(F8:F12)</t>
  </si>
  <si>
    <t>SUM(D8:D12)</t>
  </si>
  <si>
    <t>COUNTA(B8:B12)</t>
  </si>
  <si>
    <t>Profit</t>
  </si>
  <si>
    <t>Business Name</t>
  </si>
  <si>
    <t>Unit Price (Rs)</t>
  </si>
  <si>
    <t>Discount (%)</t>
  </si>
  <si>
    <t>Net Amount</t>
  </si>
  <si>
    <t>Region</t>
  </si>
  <si>
    <t>Payment Mode</t>
  </si>
  <si>
    <t>Ram Electronics</t>
  </si>
  <si>
    <t>Kathmandu</t>
  </si>
  <si>
    <t>Cash</t>
  </si>
  <si>
    <t>Sita Traders</t>
  </si>
  <si>
    <t>Pokhara</t>
  </si>
  <si>
    <t>Online</t>
  </si>
  <si>
    <t>Gagan Suppliers</t>
  </si>
  <si>
    <t>TV</t>
  </si>
  <si>
    <t>Lalitpur</t>
  </si>
  <si>
    <t>Hari Hardware</t>
  </si>
  <si>
    <t>Fan</t>
  </si>
  <si>
    <t>Butwal</t>
  </si>
  <si>
    <t>Kriti Stationery</t>
  </si>
  <si>
    <t>Pen</t>
  </si>
  <si>
    <t>Biratnagar</t>
  </si>
  <si>
    <t>Anish Mobile House</t>
  </si>
  <si>
    <t>Smartphone</t>
  </si>
  <si>
    <t>Hetauda</t>
  </si>
  <si>
    <t>Laxmi Furniture</t>
  </si>
  <si>
    <t>Chair</t>
  </si>
  <si>
    <t>Dharan</t>
  </si>
  <si>
    <t>Bibek Bakery</t>
  </si>
  <si>
    <t>Cake</t>
  </si>
  <si>
    <t>Janakpur</t>
  </si>
  <si>
    <t>Mina Cloth Store</t>
  </si>
  <si>
    <t>Shirt</t>
  </si>
  <si>
    <t>Chitwan</t>
  </si>
  <si>
    <t>Niraj Book Center</t>
  </si>
  <si>
    <t>Notebook</t>
  </si>
  <si>
    <t>Dhangadhi</t>
  </si>
  <si>
    <t>Explanation</t>
  </si>
  <si>
    <t>SUM(D8:D17)</t>
  </si>
  <si>
    <t>Employee Name</t>
  </si>
  <si>
    <t>Department</t>
  </si>
  <si>
    <t>Monthly Income (Rs)</t>
  </si>
  <si>
    <t>Age</t>
  </si>
  <si>
    <t>Experience (Years)</t>
  </si>
  <si>
    <t>Ram Shrestha</t>
  </si>
  <si>
    <t>IT</t>
  </si>
  <si>
    <t>Sita Thapa</t>
  </si>
  <si>
    <t>HR</t>
  </si>
  <si>
    <t>Gagan Gurung</t>
  </si>
  <si>
    <t>Finance</t>
  </si>
  <si>
    <t>Kriti Pandey</t>
  </si>
  <si>
    <t>Admin</t>
  </si>
  <si>
    <t>Hari Bhattarai</t>
  </si>
  <si>
    <t>Niraj Karki</t>
  </si>
  <si>
    <t>Anish Bista</t>
  </si>
  <si>
    <t>Laxmi Poudel</t>
  </si>
  <si>
    <t>Mina Lama</t>
  </si>
  <si>
    <t>Bibek Sharma</t>
  </si>
  <si>
    <t>Step 1: Compute Basic Statistical Measures</t>
  </si>
  <si>
    <t>Measure</t>
  </si>
  <si>
    <t>Mean (Average)</t>
  </si>
  <si>
    <t>Average monthly income</t>
  </si>
  <si>
    <t>Median</t>
  </si>
  <si>
    <t>Middle value of the incomes</t>
  </si>
  <si>
    <t>Mode</t>
  </si>
  <si>
    <t>Most frequent income</t>
  </si>
  <si>
    <t>Standard Deviation</t>
  </si>
  <si>
    <t>Variation in income</t>
  </si>
  <si>
    <t>Variance</t>
  </si>
  <si>
    <t>Square of standard deviation</t>
  </si>
  <si>
    <t>Range</t>
  </si>
  <si>
    <t>Difference between highest and lowest income</t>
  </si>
  <si>
    <t>Minimum Income</t>
  </si>
  <si>
    <t>Lowest income</t>
  </si>
  <si>
    <t>Maximum Income</t>
  </si>
  <si>
    <t>Highest income</t>
  </si>
  <si>
    <t>Count of Employees</t>
  </si>
  <si>
    <t>Total valid entries</t>
  </si>
  <si>
    <t>Sum of Incomes</t>
  </si>
  <si>
    <t>Total monthly expenditure</t>
  </si>
  <si>
    <t>AVERAGE(D8:D17)</t>
  </si>
  <si>
    <t>MEDIAN(D8:D17)</t>
  </si>
  <si>
    <t>MODE.SNGL(D8:D17)</t>
  </si>
  <si>
    <t>STDEV.S(D8:D17)</t>
  </si>
  <si>
    <t>VAR.S(D8:D17)</t>
  </si>
  <si>
    <t>MAX(D8:D17)-MIN(D8:D17)</t>
  </si>
  <si>
    <t>MIN(D8:D17)</t>
  </si>
  <si>
    <t>MAX(D8:D17)</t>
  </si>
  <si>
    <t>COUNT(D8:D17)</t>
  </si>
  <si>
    <t>Quartile 1 (Q1)</t>
  </si>
  <si>
    <t>25th percentile</t>
  </si>
  <si>
    <t>Quartile 2 (Q2)</t>
  </si>
  <si>
    <t>50th percentile = Median</t>
  </si>
  <si>
    <t>Quartile 3 (Q3)</t>
  </si>
  <si>
    <t>75th percentile</t>
  </si>
  <si>
    <t>Interquartile Range (IQR)</t>
  </si>
  <si>
    <t>Spread between Q1 and Q3</t>
  </si>
  <si>
    <t>Skewness</t>
  </si>
  <si>
    <t>Direction of data distribution</t>
  </si>
  <si>
    <t>Kurtosis</t>
  </si>
  <si>
    <t>Peakness of data distribution</t>
  </si>
  <si>
    <t>Coefficient of Variation (CV)</t>
  </si>
  <si>
    <t>Relative dispersion</t>
  </si>
  <si>
    <t>Correlation (Income vs Age)</t>
  </si>
  <si>
    <t>Relationship between income and age</t>
  </si>
  <si>
    <t>Correlation (Income vs Experience)</t>
  </si>
  <si>
    <t>Relationship between income and experience</t>
  </si>
  <si>
    <t>Z-Score for First Income</t>
  </si>
  <si>
    <t>How far the first data is from mean</t>
  </si>
  <si>
    <t>QUARTILE.INC(D8:D17,1)</t>
  </si>
  <si>
    <t>QUARTILE.INC(D8:D17,2)</t>
  </si>
  <si>
    <t>QUARTILE.INC(D8:D17,3)</t>
  </si>
  <si>
    <t>Q3-Q1</t>
  </si>
  <si>
    <t>SKEW(D8:D17)</t>
  </si>
  <si>
    <t>KURT(D8:D17)</t>
  </si>
  <si>
    <t>(STDEV.S(D8:D17)/AVERAGE(D8:D17))*100</t>
  </si>
  <si>
    <t>CORREL(D8:D17,E8:E17)</t>
  </si>
  <si>
    <t>CORREL(D8:D17,F8:F17)</t>
  </si>
  <si>
    <t>(D8-AVERAGE(D8:D17))/STDEV.S(D8:D17)</t>
  </si>
  <si>
    <t>Step 2: Advanced Measures</t>
  </si>
  <si>
    <t>20 Practice Questions for Students
==============================================================
What is the mean monthly income of all employees?
Which employee earns the highest salary?
Which employee has the lowest salary?
What is the range of the monthly incomes?
Find the median and explain its meaning.
Is there any mode in the dataset?
What is the standard deviation of the income distribution?
Compute the variance of incomes.
Calculate the total monthly salary expense of all 10 employees.
What percentage variation (CV) exists between employees’ salaries?
Find Quartile 1 (Q1), Quartile 2 (Median), and Quartile 3 (Q3).
Compute the Interquartile Range (IQR) and interpret it.
What is the skewness value? Is the data left or right skewed?
What is the kurtosis value? Is the distribution flat or peaked?
Is there a strong correlation between age and income?
Is there a stronger correlation between experience and income?
Which department has the highest average salary?
(Hint: use Pivot Table → Rows: Department, Values: Average of Income)
Calculate the Z-score for the first employee’s income.
Identify all employees with income above the overall average using a conditional format.
Create a Histogram chart of the monthly incomes and describe the shape of the distribution.</t>
  </si>
  <si>
    <t>Part A – Calculation Practice</t>
  </si>
  <si>
    <t>(Students should create formulas for these values.)</t>
  </si>
  <si>
    <t>Task</t>
  </si>
  <si>
    <t>Formula Example</t>
  </si>
  <si>
    <t>1️⃣ Calculate Total Amount</t>
  </si>
  <si>
    <t>Multiply Quantity × Unit Price</t>
  </si>
  <si>
    <t>2️⃣ Calculate Net Amount</t>
  </si>
  <si>
    <t>Apply discount to Total</t>
  </si>
  <si>
    <t>3️⃣ Find Total Sales (All Businesses)</t>
  </si>
  <si>
    <t>Sum of all Net Amounts</t>
  </si>
  <si>
    <t>4️⃣ Average Net Sales</t>
  </si>
  <si>
    <t>Find mean sales</t>
  </si>
  <si>
    <t>5️⃣ Maximum Net Sale</t>
  </si>
  <si>
    <t>Find highest sale</t>
  </si>
  <si>
    <t>6️⃣ Minimum Net Sale</t>
  </si>
  <si>
    <t>Find lowest sale</t>
  </si>
  <si>
    <t>7️⃣ Range of Sales</t>
  </si>
  <si>
    <t>Spread between top and bottom</t>
  </si>
  <si>
    <t>8️⃣ Standard Deviation</t>
  </si>
  <si>
    <t>Find sales variation</t>
  </si>
  <si>
    <t>9️⃣ Count of Transactions</t>
  </si>
  <si>
    <t>Count total business entries</t>
  </si>
  <si>
    <t>🔟 Online Transactions</t>
  </si>
  <si>
    <t>Count Online payments</t>
  </si>
  <si>
    <t>D2*E2</t>
  </si>
  <si>
    <t>F2-(F2*G2/100)</t>
  </si>
  <si>
    <t>SUM(H2:H11)</t>
  </si>
  <si>
    <t>AVERAGE(H2:H11)</t>
  </si>
  <si>
    <t>MAX(H2:H11)</t>
  </si>
  <si>
    <t>MIN(H2:H11)</t>
  </si>
  <si>
    <t>MAX(H2:H11)-MIN(H2:H11)</t>
  </si>
  <si>
    <t>STDEV.S(H2:H11)</t>
  </si>
  <si>
    <t>COUNTA(B2:B11)</t>
  </si>
  <si>
    <t>COUNTIF(J2:J11,"Online")</t>
  </si>
  <si>
    <t>Part B – Chart Visualization</t>
  </si>
  <si>
    <t>1️⃣ Histogram — Distribution of Net Sales
Select H column (Net Amount) → Insert → Histogram
Title: “Distribution of Net Sales Amount”
Observe which bin has most transactions.</t>
  </si>
  <si>
    <t>2️⃣ Column Chart — Compare Businesses</t>
  </si>
  <si>
    <t>3️⃣ Pie Chart — Regional Sales Distribution</t>
  </si>
  <si>
    <t>Insert → Pie → Show % labels</t>
  </si>
  <si>
    <t>4️⃣ Bar Chart — Discount vs Net Amount</t>
  </si>
  <si>
    <t>Insert → Bar chart</t>
  </si>
  <si>
    <t>5️⃣ Scatter Plot — Unit Price vs Net Amount</t>
  </si>
  <si>
    <t>Insert → Scatter Chart → Add Trendline</t>
  </si>
  <si>
    <t>6️⃣ Combo Chart — Sales &amp; Discount Together</t>
  </si>
  <si>
    <t>Insert → Combo → Line for Discount (%) and Column for Net Amount</t>
  </si>
  <si>
    <t>7️⃣ Pivot Chart — Region-wise Total</t>
  </si>
  <si>
    <t>Insert Pivot Table → Rows: Region, Values: Sum of Net Amount</t>
  </si>
  <si>
    <t>Insert Chart → Column or Pie type.</t>
  </si>
  <si>
    <t>Part C – 20 Student Questions</t>
  </si>
  <si>
    <t>15. In the combo chart, how does discount % seem to affect sales visually?</t>
  </si>
  <si>
    <r>
      <t xml:space="preserve">Select </t>
    </r>
    <r>
      <rPr>
        <b/>
        <sz val="11"/>
        <color theme="1"/>
        <rFont val="Times New Roman"/>
        <family val="1"/>
      </rPr>
      <t>B column (Business Name)</t>
    </r>
    <r>
      <rPr>
        <sz val="11"/>
        <color theme="1"/>
        <rFont val="Times New Roman"/>
        <family val="1"/>
      </rPr>
      <t xml:space="preserve"> and </t>
    </r>
    <r>
      <rPr>
        <b/>
        <sz val="11"/>
        <color theme="1"/>
        <rFont val="Times New Roman"/>
        <family val="1"/>
      </rPr>
      <t>H column (Net Amount)</t>
    </r>
  </si>
  <si>
    <r>
      <t xml:space="preserve">Insert → </t>
    </r>
    <r>
      <rPr>
        <b/>
        <sz val="11"/>
        <color theme="1"/>
        <rFont val="Times New Roman"/>
        <family val="1"/>
      </rPr>
      <t>Column Chart → Clustered Column</t>
    </r>
  </si>
  <si>
    <r>
      <t xml:space="preserve">Title: </t>
    </r>
    <r>
      <rPr>
        <i/>
        <sz val="11"/>
        <color theme="1"/>
        <rFont val="Times New Roman"/>
        <family val="1"/>
      </rPr>
      <t>“Net Sales by Business”</t>
    </r>
  </si>
  <si>
    <r>
      <t xml:space="preserve">Select </t>
    </r>
    <r>
      <rPr>
        <b/>
        <sz val="11"/>
        <color theme="1"/>
        <rFont val="Times New Roman"/>
        <family val="1"/>
      </rPr>
      <t>I column (Region)</t>
    </r>
    <r>
      <rPr>
        <sz val="11"/>
        <color theme="1"/>
        <rFont val="Times New Roman"/>
        <family val="1"/>
      </rPr>
      <t xml:space="preserve"> and </t>
    </r>
    <r>
      <rPr>
        <b/>
        <sz val="11"/>
        <color theme="1"/>
        <rFont val="Times New Roman"/>
        <family val="1"/>
      </rPr>
      <t>H column (Net Amount)</t>
    </r>
  </si>
  <si>
    <r>
      <t xml:space="preserve">Title: </t>
    </r>
    <r>
      <rPr>
        <i/>
        <sz val="11"/>
        <color theme="1"/>
        <rFont val="Times New Roman"/>
        <family val="1"/>
      </rPr>
      <t>“Sales Distribution by Region”</t>
    </r>
  </si>
  <si>
    <r>
      <t xml:space="preserve">Select </t>
    </r>
    <r>
      <rPr>
        <b/>
        <sz val="11"/>
        <color theme="1"/>
        <rFont val="Times New Roman"/>
        <family val="1"/>
      </rPr>
      <t>G column (Discount %)</t>
    </r>
    <r>
      <rPr>
        <sz val="11"/>
        <color theme="1"/>
        <rFont val="Times New Roman"/>
        <family val="1"/>
      </rPr>
      <t xml:space="preserve"> and </t>
    </r>
    <r>
      <rPr>
        <b/>
        <sz val="11"/>
        <color theme="1"/>
        <rFont val="Times New Roman"/>
        <family val="1"/>
      </rPr>
      <t>H column (Net Amount)</t>
    </r>
  </si>
  <si>
    <r>
      <t xml:space="preserve">Title: </t>
    </r>
    <r>
      <rPr>
        <i/>
        <sz val="11"/>
        <color theme="1"/>
        <rFont val="Times New Roman"/>
        <family val="1"/>
      </rPr>
      <t>“Impact of Discount on Sales”</t>
    </r>
  </si>
  <si>
    <r>
      <t xml:space="preserve">Select </t>
    </r>
    <r>
      <rPr>
        <b/>
        <sz val="11"/>
        <color theme="1"/>
        <rFont val="Times New Roman"/>
        <family val="1"/>
      </rPr>
      <t>E column (Unit Price)</t>
    </r>
    <r>
      <rPr>
        <sz val="11"/>
        <color theme="1"/>
        <rFont val="Times New Roman"/>
        <family val="1"/>
      </rPr>
      <t xml:space="preserve"> and </t>
    </r>
    <r>
      <rPr>
        <b/>
        <sz val="11"/>
        <color theme="1"/>
        <rFont val="Times New Roman"/>
        <family val="1"/>
      </rPr>
      <t>H column (Net Amount)</t>
    </r>
  </si>
  <si>
    <r>
      <t xml:space="preserve">Title: </t>
    </r>
    <r>
      <rPr>
        <i/>
        <sz val="11"/>
        <color theme="1"/>
        <rFont val="Times New Roman"/>
        <family val="1"/>
      </rPr>
      <t>“Relationship Between Unit Price and Sales”</t>
    </r>
  </si>
  <si>
    <r>
      <t xml:space="preserve">Title: </t>
    </r>
    <r>
      <rPr>
        <i/>
        <sz val="11"/>
        <color theme="1"/>
        <rFont val="Times New Roman"/>
        <family val="1"/>
      </rPr>
      <t>“Sales vs Discount Trend”</t>
    </r>
  </si>
  <si>
    <r>
      <t xml:space="preserve">📘 </t>
    </r>
    <r>
      <rPr>
        <b/>
        <i/>
        <sz val="12"/>
        <color rgb="FFFF0000"/>
        <rFont val="Times New Roman"/>
        <family val="1"/>
      </rPr>
      <t>Descriptive Questions</t>
    </r>
  </si>
  <si>
    <r>
      <t xml:space="preserve">1. What is the </t>
    </r>
    <r>
      <rPr>
        <b/>
        <sz val="11"/>
        <color theme="1"/>
        <rFont val="Times New Roman"/>
        <family val="1"/>
      </rPr>
      <t>average Net Amount</t>
    </r>
    <r>
      <rPr>
        <sz val="11"/>
        <color theme="1"/>
        <rFont val="Times New Roman"/>
        <family val="1"/>
      </rPr>
      <t xml:space="preserve"> across all businesses?</t>
    </r>
  </si>
  <si>
    <r>
      <t xml:space="preserve">2. Which business achieved the </t>
    </r>
    <r>
      <rPr>
        <b/>
        <sz val="11"/>
        <color theme="1"/>
        <rFont val="Times New Roman"/>
        <family val="1"/>
      </rPr>
      <t>highest Net Sale</t>
    </r>
    <r>
      <rPr>
        <sz val="11"/>
        <color theme="1"/>
        <rFont val="Times New Roman"/>
        <family val="1"/>
      </rPr>
      <t>?</t>
    </r>
  </si>
  <si>
    <r>
      <t xml:space="preserve">3. Which business has the </t>
    </r>
    <r>
      <rPr>
        <b/>
        <sz val="11"/>
        <color theme="1"/>
        <rFont val="Times New Roman"/>
        <family val="1"/>
      </rPr>
      <t>lowest Net Sale</t>
    </r>
    <r>
      <rPr>
        <sz val="11"/>
        <color theme="1"/>
        <rFont val="Times New Roman"/>
        <family val="1"/>
      </rPr>
      <t>?</t>
    </r>
  </si>
  <si>
    <r>
      <t xml:space="preserve">4. What is the </t>
    </r>
    <r>
      <rPr>
        <b/>
        <sz val="11"/>
        <color theme="1"/>
        <rFont val="Times New Roman"/>
        <family val="1"/>
      </rPr>
      <t>difference (range)</t>
    </r>
    <r>
      <rPr>
        <sz val="11"/>
        <color theme="1"/>
        <rFont val="Times New Roman"/>
        <family val="1"/>
      </rPr>
      <t xml:space="preserve"> between highest and lowest sales?</t>
    </r>
  </si>
  <si>
    <r>
      <t xml:space="preserve">5. What is the </t>
    </r>
    <r>
      <rPr>
        <b/>
        <sz val="11"/>
        <color theme="1"/>
        <rFont val="Times New Roman"/>
        <family val="1"/>
      </rPr>
      <t>standard deviation</t>
    </r>
    <r>
      <rPr>
        <sz val="11"/>
        <color theme="1"/>
        <rFont val="Times New Roman"/>
        <family val="1"/>
      </rPr>
      <t xml:space="preserve"> of sales, and what does it indicate?</t>
    </r>
  </si>
  <si>
    <r>
      <t xml:space="preserve">6. How many </t>
    </r>
    <r>
      <rPr>
        <b/>
        <sz val="11"/>
        <color theme="1"/>
        <rFont val="Times New Roman"/>
        <family val="1"/>
      </rPr>
      <t>total businesses</t>
    </r>
    <r>
      <rPr>
        <sz val="11"/>
        <color theme="1"/>
        <rFont val="Times New Roman"/>
        <family val="1"/>
      </rPr>
      <t xml:space="preserve"> are listed?</t>
    </r>
  </si>
  <si>
    <r>
      <t xml:space="preserve">7. How many used </t>
    </r>
    <r>
      <rPr>
        <b/>
        <sz val="11"/>
        <color theme="1"/>
        <rFont val="Times New Roman"/>
        <family val="1"/>
      </rPr>
      <t>Online payment mode</t>
    </r>
    <r>
      <rPr>
        <sz val="11"/>
        <color theme="1"/>
        <rFont val="Times New Roman"/>
        <family val="1"/>
      </rPr>
      <t>?</t>
    </r>
  </si>
  <si>
    <r>
      <t xml:space="preserve">8. How many are from the </t>
    </r>
    <r>
      <rPr>
        <b/>
        <sz val="11"/>
        <color theme="1"/>
        <rFont val="Times New Roman"/>
        <family val="1"/>
      </rPr>
      <t>Kathmandu region</t>
    </r>
    <r>
      <rPr>
        <sz val="11"/>
        <color theme="1"/>
        <rFont val="Times New Roman"/>
        <family val="1"/>
      </rPr>
      <t>?</t>
    </r>
  </si>
  <si>
    <r>
      <t xml:space="preserve">9. What is the </t>
    </r>
    <r>
      <rPr>
        <b/>
        <sz val="11"/>
        <color theme="1"/>
        <rFont val="Times New Roman"/>
        <family val="1"/>
      </rPr>
      <t>total discount percentage sum</t>
    </r>
    <r>
      <rPr>
        <sz val="11"/>
        <color theme="1"/>
        <rFont val="Times New Roman"/>
        <family val="1"/>
      </rPr>
      <t>?</t>
    </r>
  </si>
  <si>
    <r>
      <t xml:space="preserve">10. Which product got the </t>
    </r>
    <r>
      <rPr>
        <b/>
        <sz val="11"/>
        <color theme="1"/>
        <rFont val="Times New Roman"/>
        <family val="1"/>
      </rPr>
      <t>maximum discount</t>
    </r>
    <r>
      <rPr>
        <sz val="11"/>
        <color theme="1"/>
        <rFont val="Times New Roman"/>
        <family val="1"/>
      </rPr>
      <t>?</t>
    </r>
  </si>
  <si>
    <r>
      <t xml:space="preserve">📊 </t>
    </r>
    <r>
      <rPr>
        <b/>
        <i/>
        <sz val="12"/>
        <color rgb="FFFF0000"/>
        <rFont val="Times New Roman"/>
        <family val="1"/>
      </rPr>
      <t>Chart &amp; Analytical Questions</t>
    </r>
  </si>
  <si>
    <r>
      <t xml:space="preserve">11. In the histogram, which </t>
    </r>
    <r>
      <rPr>
        <b/>
        <sz val="11"/>
        <color theme="1"/>
        <rFont val="Times New Roman"/>
        <family val="1"/>
      </rPr>
      <t>Net Amount range</t>
    </r>
    <r>
      <rPr>
        <sz val="11"/>
        <color theme="1"/>
        <rFont val="Times New Roman"/>
        <family val="1"/>
      </rPr>
      <t xml:space="preserve"> has the most businesses?</t>
    </r>
  </si>
  <si>
    <r>
      <t xml:space="preserve">12. In the column chart, which </t>
    </r>
    <r>
      <rPr>
        <b/>
        <sz val="11"/>
        <color theme="1"/>
        <rFont val="Times New Roman"/>
        <family val="1"/>
      </rPr>
      <t>business</t>
    </r>
    <r>
      <rPr>
        <sz val="11"/>
        <color theme="1"/>
        <rFont val="Times New Roman"/>
        <family val="1"/>
      </rPr>
      <t xml:space="preserve"> has the highest bar?</t>
    </r>
  </si>
  <si>
    <r>
      <t xml:space="preserve">13. In the pie chart, which </t>
    </r>
    <r>
      <rPr>
        <b/>
        <sz val="11"/>
        <color theme="1"/>
        <rFont val="Times New Roman"/>
        <family val="1"/>
      </rPr>
      <t>region</t>
    </r>
    <r>
      <rPr>
        <sz val="11"/>
        <color theme="1"/>
        <rFont val="Times New Roman"/>
        <family val="1"/>
      </rPr>
      <t xml:space="preserve"> contributes most to total sales?</t>
    </r>
  </si>
  <si>
    <r>
      <t xml:space="preserve">14. In the scatter plot, describe the </t>
    </r>
    <r>
      <rPr>
        <b/>
        <sz val="11"/>
        <color theme="1"/>
        <rFont val="Times New Roman"/>
        <family val="1"/>
      </rPr>
      <t>relationship between Unit Price and Sales</t>
    </r>
    <r>
      <rPr>
        <sz val="11"/>
        <color theme="1"/>
        <rFont val="Times New Roman"/>
        <family val="1"/>
      </rPr>
      <t>.</t>
    </r>
  </si>
  <si>
    <r>
      <t xml:space="preserve">16. Add </t>
    </r>
    <r>
      <rPr>
        <b/>
        <sz val="11"/>
        <color theme="1"/>
        <rFont val="Times New Roman"/>
        <family val="1"/>
      </rPr>
      <t>conditional formatting</t>
    </r>
    <r>
      <rPr>
        <sz val="11"/>
        <color theme="1"/>
        <rFont val="Times New Roman"/>
        <family val="1"/>
      </rPr>
      <t xml:space="preserve"> to highlight </t>
    </r>
    <r>
      <rPr>
        <i/>
        <sz val="11"/>
        <color theme="1"/>
        <rFont val="Times New Roman"/>
        <family val="1"/>
      </rPr>
      <t>Net Amount &gt; 20,000</t>
    </r>
    <r>
      <rPr>
        <sz val="11"/>
        <color theme="1"/>
        <rFont val="Times New Roman"/>
        <family val="1"/>
      </rPr>
      <t>.</t>
    </r>
  </si>
  <si>
    <r>
      <t xml:space="preserve">17. Calculate </t>
    </r>
    <r>
      <rPr>
        <b/>
        <sz val="11"/>
        <color theme="1"/>
        <rFont val="Times New Roman"/>
        <family val="1"/>
      </rPr>
      <t>Total Net Sales for Cash payments only</t>
    </r>
    <r>
      <rPr>
        <sz val="11"/>
        <color theme="1"/>
        <rFont val="Times New Roman"/>
        <family val="1"/>
      </rPr>
      <t xml:space="preserve"> using:</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</si>
</sst>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font>
      <sz val="11"/>
      <color theme="1"/>
      <name val="Aptos Narrow"/>
      <family val="2"/>
      <scheme val="minor"/>
    </font>
    <font>
      <sz val="11"/>
      <color rgb="FFFF0000"/>
      <name val="Aptos Narrow"/>
      <family val="2"/>
      <scheme val="minor"/>
    </font>
    <font>
      <b/>
      <sz val="11"/>
      <color theme="1"/>
      <name val="Aptos Narrow"/>
      <family val="2"/>
      <scheme val="minor"/>
    </font>
    <font>
      <b/>
      <sz val="14"/>
      <color theme="1"/>
      <name val="Aptos Narrow"/>
      <family val="2"/>
      <scheme val="minor"/>
    </font>
    <font>
      <b/>
      <sz val="14"/>
      <color rgb="FF0070C0"/>
      <name val="Aptos Narrow"/>
      <family val="2"/>
      <scheme val="minor"/>
    </font>
    <font>
      <b/>
      <sz val="14"/>
      <color rgb="FFFF0000"/>
      <name val="Aptos Narrow"/>
      <family val="2"/>
      <scheme val="minor"/>
    </font>
    <font>
      <b/>
      <u/>
      <sz val="16"/>
      <color theme="1"/>
      <name val="Aptos Narrow"/>
      <family val="2"/>
      <scheme val="minor"/>
    </font>
    <font>
      <b/>
      <sz val="11"/>
      <color rgb="FFFF0000"/>
      <name val="Aptos Narrow"/>
      <family val="2"/>
      <scheme val="minor"/>
    </font>
    <font>
      <b/>
      <sz val="18"/>
      <color rgb="FF002060"/>
      <name val="Aptos Narrow"/>
      <family val="2"/>
      <scheme val="minor"/>
    </font>
    <font>
      <sz val="11"/>
      <color rgb="FF002060"/>
      <name val="Aptos Narrow"/>
      <family val="2"/>
      <scheme val="minor"/>
    </font>
    <font>
      <b/>
      <sz val="13.5"/>
      <color rgb="FF002060"/>
      <name val="Aptos Narrow"/>
      <family val="2"/>
      <scheme val="minor"/>
    </font>
    <font>
      <b/>
      <sz val="11"/>
      <color rgb="FF002060"/>
      <name val="Aptos Narrow"/>
      <family val="2"/>
      <scheme val="minor"/>
    </font>
    <font>
      <b/>
      <sz val="12"/>
      <color rgb="FF002060"/>
      <name val="Aptos Narrow"/>
      <family val="2"/>
      <scheme val="minor"/>
    </font>
    <font>
      <sz val="10"/>
      <color rgb="FF002060"/>
      <name val="Arial Unicode MS"/>
    </font>
    <font>
      <b/>
      <sz val="18"/>
      <color rgb="FF7030A0"/>
      <name val="Aptos Narrow"/>
      <family val="2"/>
      <scheme val="minor"/>
    </font>
    <font>
      <sz val="11"/>
      <color rgb="FF7030A0"/>
      <name val="Aptos Narrow"/>
      <family val="2"/>
      <scheme val="minor"/>
    </font>
    <font>
      <b/>
      <sz val="13.5"/>
      <color rgb="FF7030A0"/>
      <name val="Aptos Narrow"/>
      <family val="2"/>
      <scheme val="minor"/>
    </font>
    <font>
      <b/>
      <sz val="11"/>
      <color rgb="FF7030A0"/>
      <name val="Aptos Narrow"/>
      <family val="2"/>
      <scheme val="minor"/>
    </font>
    <font>
      <sz val="10"/>
      <color rgb="FF7030A0"/>
      <name val="Arial Unicode MS"/>
    </font>
    <font>
      <i/>
      <sz val="11"/>
      <color rgb="FF7030A0"/>
      <name val="Aptos Narrow"/>
      <family val="2"/>
      <scheme val="minor"/>
    </font>
    <font>
      <sz val="10"/>
      <color theme="1"/>
      <name val="Arial Unicode MS"/>
    </font>
    <font>
      <sz val="14"/>
      <color theme="1"/>
      <name val="Aptos Narrow"/>
      <family val="2"/>
      <scheme val="minor"/>
    </font>
    <font>
      <b/>
      <sz val="18"/>
      <color theme="1"/>
      <name val="Times New Roman"/>
      <family val="1"/>
    </font>
    <font>
      <b/>
      <sz val="14"/>
      <color theme="1"/>
      <name val="Times New Roman"/>
      <family val="1"/>
    </font>
    <font>
      <b/>
      <sz val="11"/>
      <color theme="1"/>
      <name val="Times New Roman"/>
      <family val="1"/>
    </font>
    <font>
      <sz val="10"/>
      <color rgb="FFFF0000"/>
      <name val="Times New Roman"/>
      <family val="1"/>
    </font>
    <font>
      <sz val="11"/>
      <color theme="1"/>
      <name val="Times New Roman"/>
      <family val="1"/>
    </font>
    <font>
      <sz val="24"/>
      <color rgb="FFFF0000"/>
      <name val="Times New Roman"/>
      <family val="1"/>
    </font>
    <font>
      <i/>
      <sz val="11"/>
      <color theme="1"/>
      <name val="Times New Roman"/>
      <family val="1"/>
    </font>
    <font>
      <b/>
      <sz val="12"/>
      <color rgb="FFFF0000"/>
      <name val="Times New Roman"/>
      <family val="1"/>
    </font>
    <font>
      <b/>
      <i/>
      <sz val="12"/>
      <color rgb="FFFF0000"/>
      <name val="Times New Roman"/>
      <family val="1"/>
    </font>
  </fonts>
  <fills count="2">
    <fill>
      <patternFill patternType="none"/>
    </fill>
    <fill>
      <patternFill patternType="gray125"/>
    </fill>
  </fills>
  <borders count="1">
    <border>
      <left/>
      <right/>
      <top/>
      <bottom/>
      <diagonal/>
    </border>
  </borders>
  <cellStyleXfs count="1">
    <xf numFmtId="0" fontId="0" fillId="0" borderId="0"/>
  </cellStyleXfs>
  <cellXfs count="68">
    <xf numFmtId="0" fontId="0" fillId="0" borderId="0" xfId="0"/>
    <xf numFmtId="0" fontId="2" fillId="0" borderId="0" xfId="0" applyFont="1" applyAlignment="1">
      <alignment horizontal="center" vertical="center" wrapText="1"/>
    </xf>
    <xf numFmtId="0" fontId="0" fillId="0" borderId="0" xfId="0" applyAlignment="1">
      <alignment vertical="center" wrapText="1"/>
    </xf>
    <xf numFmtId="0" fontId="3" fillId="0" borderId="0" xfId="0" applyFont="1" applyAlignment="1">
      <alignment horizontal="center" vertical="center"/>
    </xf>
    <xf numFmtId="0" fontId="4" fillId="0" borderId="0" xfId="0" applyFont="1" applyAlignment="1">
      <alignment horizontal="center" vertical="center"/>
    </xf>
    <xf numFmtId="0" fontId="4" fillId="0" borderId="0" xfId="0" applyFont="1" applyAlignment="1">
      <alignment horizontal="center" vertical="center" wrapText="1"/>
    </xf>
    <xf numFmtId="0" fontId="5" fillId="0" borderId="0" xfId="0" applyFont="1" applyAlignment="1">
      <alignment horizontal="center" vertical="center" wrapText="1"/>
    </xf>
    <xf numFmtId="0" fontId="2" fillId="0" borderId="0" xfId="0" applyFont="1" applyAlignment="1">
      <alignment horizontal="center" vertical="top" wrapText="1"/>
    </xf>
    <xf numFmtId="0" fontId="0" fillId="0" borderId="0" xfId="0" applyAlignment="1">
      <alignment wrapText="1"/>
    </xf>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left"/>
    </xf>
    <xf numFmtId="0" fontId="2" fillId="0" borderId="0" xfId="0" applyFont="1" applyAlignment="1">
      <alignment horizontal="left" vertical="center" wrapText="1"/>
    </xf>
    <xf numFmtId="0" fontId="0" fillId="0" borderId="0" xfId="0" applyAlignment="1">
      <alignment horizontal="left" vertical="center"/>
    </xf>
    <xf numFmtId="0" fontId="0" fillId="0" borderId="0" xfId="0" applyAlignment="1">
      <alignment horizontal="left" vertical="center" wrapText="1"/>
    </xf>
    <xf numFmtId="0" fontId="8" fillId="0" borderId="0" xfId="0" applyFont="1" applyAlignment="1">
      <alignment vertical="center"/>
    </xf>
    <xf numFmtId="0" fontId="9" fillId="0" borderId="0" xfId="0" applyFont="1"/>
    <xf numFmtId="0" fontId="10" fillId="0" borderId="0" xfId="0" applyFont="1" applyAlignment="1">
      <alignment vertical="center"/>
    </xf>
    <xf numFmtId="0" fontId="9" fillId="0" borderId="0" xfId="0" applyFont="1" applyAlignment="1">
      <alignment horizontal="left" vertical="center" indent="1"/>
    </xf>
    <xf numFmtId="0" fontId="9" fillId="0" borderId="0" xfId="0" applyFont="1" applyAlignment="1">
      <alignment horizontal="left" vertical="center" indent="2"/>
    </xf>
    <xf numFmtId="0" fontId="11" fillId="0" borderId="0" xfId="0" applyFont="1" applyAlignment="1">
      <alignment horizontal="left" vertical="center" indent="2"/>
    </xf>
    <xf numFmtId="0" fontId="11" fillId="0" borderId="0" xfId="0" applyFont="1" applyAlignment="1">
      <alignment horizontal="center" vertical="center" wrapText="1"/>
    </xf>
    <xf numFmtId="0" fontId="9" fillId="0" borderId="0" xfId="0" applyFont="1" applyAlignment="1">
      <alignment vertical="center" wrapText="1"/>
    </xf>
    <xf numFmtId="0" fontId="12" fillId="0" borderId="0" xfId="0" applyFont="1" applyAlignment="1">
      <alignment vertical="center"/>
    </xf>
    <xf numFmtId="0" fontId="9" fillId="0" borderId="0" xfId="0" applyFont="1" applyAlignment="1">
      <alignment vertical="center"/>
    </xf>
    <xf numFmtId="0" fontId="13" fillId="0" borderId="0" xfId="0" applyFont="1" applyAlignment="1">
      <alignment vertical="center"/>
    </xf>
    <xf numFmtId="0" fontId="14" fillId="0" borderId="0" xfId="0" applyFont="1" applyAlignment="1">
      <alignment vertical="center"/>
    </xf>
    <xf numFmtId="0" fontId="15" fillId="0" borderId="0" xfId="0" applyFont="1"/>
    <xf numFmtId="0" fontId="16" fillId="0" borderId="0" xfId="0" applyFont="1" applyAlignment="1">
      <alignment vertical="center"/>
    </xf>
    <xf numFmtId="0" fontId="17" fillId="0" borderId="0" xfId="0" applyFont="1"/>
    <xf numFmtId="0" fontId="15" fillId="0" borderId="0" xfId="0" applyFont="1" applyAlignment="1">
      <alignment horizontal="left" vertical="center" indent="1"/>
    </xf>
    <xf numFmtId="0" fontId="17" fillId="0" borderId="0" xfId="0" applyFont="1" applyAlignment="1">
      <alignment horizontal="left" vertical="center" indent="1"/>
    </xf>
    <xf numFmtId="0" fontId="15" fillId="0" borderId="0" xfId="0" applyFont="1" applyAlignment="1">
      <alignment vertical="center"/>
    </xf>
    <xf numFmtId="0" fontId="18" fillId="0" borderId="0" xfId="0" applyFont="1" applyAlignment="1">
      <alignment vertical="center"/>
    </xf>
    <xf numFmtId="0" fontId="15" fillId="0" borderId="0" xfId="0" applyFont="1" applyAlignment="1">
      <alignment horizontal="left" vertical="center" indent="2"/>
    </xf>
    <xf numFmtId="3" fontId="0" fillId="0" borderId="0" xfId="0" applyNumberFormat="1" applyAlignment="1">
      <alignment vertical="center" wrapText="1"/>
    </xf>
    <xf numFmtId="0" fontId="20" fillId="0" borderId="0" xfId="0" applyFont="1" applyAlignment="1">
      <alignment vertical="center" wrapText="1"/>
    </xf>
    <xf numFmtId="0" fontId="2" fillId="0" borderId="0" xfId="0" applyFont="1" applyAlignment="1">
      <alignment vertical="center" wrapText="1"/>
    </xf>
    <xf numFmtId="0" fontId="6"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xf numFmtId="3" fontId="0" fillId="0" borderId="0" xfId="0" applyNumberFormat="1" applyAlignment="1">
      <alignment vertical="center"/>
    </xf>
    <xf numFmtId="0" fontId="20" fillId="0" borderId="0" xfId="0" applyFont="1" applyAlignment="1">
      <alignment vertical="center"/>
    </xf>
    <xf numFmtId="0" fontId="7" fillId="0" borderId="0" xfId="0" applyFont="1" applyAlignment="1">
      <alignment horizontal="center" vertical="center"/>
    </xf>
    <xf numFmtId="0" fontId="1" fillId="0" borderId="0" xfId="0" applyFont="1" applyAlignment="1">
      <alignment horizontal="center"/>
    </xf>
    <xf numFmtId="0" fontId="7" fillId="0" borderId="0" xfId="0" applyFont="1" applyAlignment="1">
      <alignment horizontal="center" vertical="center" wrapText="1"/>
    </xf>
    <xf numFmtId="0" fontId="1" fillId="0" borderId="0" xfId="0" applyFont="1"/>
    <xf numFmtId="3" fontId="0" fillId="0" borderId="0" xfId="0" applyNumberFormat="1" applyAlignment="1">
      <alignment horizontal="center" vertical="center" wrapText="1"/>
    </xf>
    <xf numFmtId="0" fontId="22" fillId="0" borderId="0" xfId="0" applyFont="1" applyAlignment="1">
      <alignment horizontal="center"/>
    </xf>
    <xf numFmtId="0" fontId="23" fillId="0" borderId="0" xfId="0" applyFont="1" applyAlignment="1">
      <alignment horizontal="center" vertical="center" wrapText="1"/>
    </xf>
    <xf numFmtId="0" fontId="24" fillId="0" borderId="0" xfId="0" applyFont="1" applyAlignment="1">
      <alignment vertical="center" wrapText="1"/>
    </xf>
    <xf numFmtId="0" fontId="25" fillId="0" borderId="0" xfId="0" applyFont="1" applyAlignment="1">
      <alignment vertical="center" wrapText="1"/>
    </xf>
    <xf numFmtId="0" fontId="26" fillId="0" borderId="0" xfId="0" applyFont="1" applyAlignment="1">
      <alignment vertical="center" wrapText="1"/>
    </xf>
    <xf numFmtId="0" fontId="21" fillId="0" borderId="0" xfId="0" applyFont="1"/>
    <xf numFmtId="0" fontId="1" fillId="0" borderId="0" xfId="0" applyFont="1" applyAlignment="1">
      <alignment horizontal="left" vertical="top" wrapText="1"/>
    </xf>
    <xf numFmtId="0" fontId="1" fillId="0" borderId="0" xfId="0" applyFont="1" applyAlignment="1">
      <alignment horizontal="left" vertical="top"/>
    </xf>
    <xf numFmtId="0" fontId="27" fillId="0" borderId="0" xfId="0" applyFont="1" applyAlignment="1">
      <alignment horizontal="center"/>
    </xf>
    <xf numFmtId="0" fontId="26" fillId="0" borderId="0" xfId="0" applyFont="1"/>
    <xf numFmtId="0" fontId="24" fillId="0" borderId="0" xfId="0" applyFont="1" applyAlignment="1">
      <alignment horizontal="center" vertical="center" wrapText="1"/>
    </xf>
    <xf numFmtId="0" fontId="24" fillId="0" borderId="0" xfId="0" applyFont="1" applyAlignment="1">
      <alignment horizontal="left" vertical="top" wrapText="1"/>
    </xf>
    <xf numFmtId="0" fontId="24" fillId="0" borderId="0" xfId="0" applyFont="1" applyAlignment="1">
      <alignment horizontal="center"/>
    </xf>
    <xf numFmtId="0" fontId="24" fillId="0" borderId="0" xfId="0" applyFont="1" applyAlignment="1">
      <alignment horizontal="left" vertical="top"/>
    </xf>
    <xf numFmtId="0" fontId="24" fillId="0" borderId="0" xfId="0" applyFont="1" applyAlignment="1">
      <alignment vertical="top"/>
    </xf>
    <xf numFmtId="0" fontId="26" fillId="0" borderId="0" xfId="0" applyFont="1" applyAlignment="1">
      <alignment horizontal="left" vertical="top"/>
    </xf>
    <xf numFmtId="0" fontId="24" fillId="0" borderId="0" xfId="0" applyFont="1"/>
    <xf numFmtId="0" fontId="26" fillId="0" borderId="0" xfId="0" applyFont="1" applyAlignment="1">
      <alignment horizontal="left" vertical="center" indent="1"/>
    </xf>
    <xf numFmtId="0" fontId="29" fillId="0" borderId="0" xfId="0" applyFont="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64ED3-6069-4EA8-8EDB-7E99023F76B5}">
  <dimension ref="A3:M23"/>
  <sheetViews>
    <sheetView topLeftCell="A3" zoomScale="70" zoomScaleNormal="70" workbookViewId="0">
      <selection activeCell="B22" sqref="B22"/>
    </sheetView>
  </sheetViews>
  <sheetFormatPr defaultRowHeight="15"/>
  <cols>
    <col min="2" max="2" width="19.28515625" style="12" customWidth="1"/>
    <col min="5" max="5" width="16.5703125" customWidth="1"/>
    <col min="6" max="6" width="13" customWidth="1"/>
    <col min="7" max="7" width="14.85546875" customWidth="1"/>
    <col min="8" max="8" width="18" customWidth="1"/>
    <col min="9" max="9" width="15.140625" customWidth="1"/>
    <col min="10" max="10" width="30.5703125" style="9" customWidth="1"/>
    <col min="11" max="11" width="24.42578125" customWidth="1"/>
    <col min="12" max="12" width="19.5703125" customWidth="1"/>
    <col min="13" max="13" width="24.85546875" customWidth="1"/>
  </cols>
  <sheetData>
    <row r="3" spans="1:13" s="8" customFormat="1" ht="105">
      <c r="B3" s="13" t="s">
        <v>0</v>
      </c>
      <c r="C3" s="1" t="s">
        <v>1</v>
      </c>
      <c r="D3" s="1" t="s">
        <v>2</v>
      </c>
      <c r="E3" s="1" t="s">
        <v>3</v>
      </c>
      <c r="F3" s="1" t="s">
        <v>4</v>
      </c>
      <c r="G3" s="1" t="s">
        <v>5</v>
      </c>
      <c r="H3" s="1" t="s">
        <v>18</v>
      </c>
      <c r="I3" s="1" t="s">
        <v>19</v>
      </c>
      <c r="J3" s="1" t="s">
        <v>20</v>
      </c>
      <c r="K3" s="7" t="s">
        <v>21</v>
      </c>
    </row>
    <row r="4" spans="1:13" s="8" customFormat="1">
      <c r="B4" s="13"/>
      <c r="C4" s="1"/>
      <c r="D4" s="1"/>
      <c r="E4" s="1"/>
      <c r="F4" s="1"/>
      <c r="G4" s="1"/>
      <c r="H4" s="1"/>
      <c r="I4" s="1"/>
      <c r="J4" s="1"/>
      <c r="K4" s="7"/>
    </row>
    <row r="5" spans="1:13" s="8" customFormat="1">
      <c r="B5" s="13"/>
      <c r="C5" s="1"/>
      <c r="D5" s="1"/>
      <c r="E5" s="1"/>
      <c r="F5" s="1"/>
      <c r="G5" s="1"/>
      <c r="H5" s="1"/>
      <c r="I5" s="1"/>
      <c r="J5" s="1"/>
      <c r="K5" s="7"/>
    </row>
    <row r="6" spans="1:13" s="8" customFormat="1" ht="21">
      <c r="B6" s="39" t="s">
        <v>22</v>
      </c>
      <c r="C6" s="39"/>
      <c r="D6" s="39"/>
      <c r="E6" s="39"/>
      <c r="F6" s="39"/>
      <c r="G6" s="39"/>
      <c r="H6" s="39"/>
      <c r="I6" s="39"/>
      <c r="J6" s="39"/>
      <c r="K6" s="39"/>
    </row>
    <row r="7" spans="1:13" s="3" customFormat="1" ht="18.75">
      <c r="A7" s="4" t="s">
        <v>16</v>
      </c>
      <c r="B7" s="5" t="s">
        <v>6</v>
      </c>
      <c r="C7" s="5" t="s">
        <v>7</v>
      </c>
      <c r="D7" s="5" t="s">
        <v>8</v>
      </c>
      <c r="E7" s="5" t="s">
        <v>9</v>
      </c>
      <c r="F7" s="5" t="s">
        <v>10</v>
      </c>
      <c r="G7" s="5" t="s">
        <v>11</v>
      </c>
      <c r="H7" s="6" t="s">
        <v>12</v>
      </c>
      <c r="I7" s="6" t="s">
        <v>13</v>
      </c>
      <c r="J7" s="6" t="s">
        <v>14</v>
      </c>
      <c r="K7" s="6" t="s">
        <v>15</v>
      </c>
      <c r="L7" s="3" t="s">
        <v>99</v>
      </c>
      <c r="M7" s="3" t="s">
        <v>100</v>
      </c>
    </row>
    <row r="8" spans="1:13" s="10" customFormat="1">
      <c r="A8" s="10">
        <v>1</v>
      </c>
      <c r="B8" s="14" t="s">
        <v>25</v>
      </c>
      <c r="C8" s="10">
        <v>55</v>
      </c>
      <c r="D8" s="10">
        <v>65</v>
      </c>
      <c r="E8" s="10">
        <v>44</v>
      </c>
      <c r="F8" s="10">
        <v>55</v>
      </c>
      <c r="G8" s="10">
        <v>33</v>
      </c>
      <c r="H8" s="10">
        <f>SUM(C8:G8)</f>
        <v>252</v>
      </c>
      <c r="I8" s="10">
        <f>H8/5</f>
        <v>50.4</v>
      </c>
      <c r="J8" s="11" t="str">
        <f>IF(AND(C8&gt;=40,D8&gt;=40,E8&gt;=40,F8&gt;=40,G8&gt;=40),"Pass","Fail")</f>
        <v>Fail</v>
      </c>
      <c r="K8" s="2" t="str">
        <f>IF(J8="Fail","Fail",
   IF(I8&gt;=80,"Distinction",
   IF(I8&gt;=60,"First",
   IF(I8&gt;=45,"Second",
   IF(I8&gt;=35,"Third","Fail")))))</f>
        <v>Fail</v>
      </c>
      <c r="L8" s="10" t="str">
        <f>IF(I8&gt;=90,"A+",
   IF(I8&gt;=80,"A",
   IF(I8&gt;=70,"A-",
   IF(I8&gt;=60,"B+",
   IF(I8&gt;=50,"B",
   IF(I8&gt;=40,"C","D"))))))</f>
        <v>B</v>
      </c>
      <c r="M8" s="10">
        <f>IF(I8&gt;=90,4,
   IF(I8&gt;=80,3.7,
   IF(I8&gt;=70,3.3,
   IF(I8&gt;=60,3,
   IF(I8&gt;=50,2.7,
   IF(I8&gt;=40,2,1))))))</f>
        <v>2.7</v>
      </c>
    </row>
    <row r="9" spans="1:13">
      <c r="A9">
        <v>2</v>
      </c>
      <c r="B9" s="12" t="s">
        <v>26</v>
      </c>
      <c r="C9">
        <v>88</v>
      </c>
      <c r="D9">
        <v>88</v>
      </c>
      <c r="E9">
        <v>88</v>
      </c>
      <c r="F9">
        <v>88</v>
      </c>
      <c r="G9">
        <v>88</v>
      </c>
      <c r="H9" s="10">
        <f t="shared" ref="H9:H18" si="0">SUM(C9:G9)</f>
        <v>440</v>
      </c>
      <c r="I9" s="10">
        <f t="shared" ref="I9:I18" si="1">H9/5</f>
        <v>88</v>
      </c>
      <c r="J9" s="11" t="str">
        <f t="shared" ref="J9:J18" si="2">IF(AND(C9&gt;=40,D9&gt;=40,E9&gt;=40,F9&gt;=40,G9&gt;=40),"Pass","Fail")</f>
        <v>Pass</v>
      </c>
      <c r="K9" s="2" t="str">
        <f t="shared" ref="K9:K18" si="3">IF(J9="Fail","Fail",
   IF(I9&gt;=80,"Distinction",
   IF(I9&gt;=60,"First",
   IF(I9&gt;=45,"Second",
   IF(I9&gt;=35,"Third","Fail")))))</f>
        <v>Distinction</v>
      </c>
      <c r="L9" s="10" t="str">
        <f t="shared" ref="L9:L22" si="4">IF(I9&gt;=90,"A+",
   IF(I9&gt;=80,"A",
   IF(I9&gt;=70,"A-",
   IF(I9&gt;=60,"B+",
   IF(I9&gt;=50,"B",
   IF(I9&gt;=40,"C","D"))))))</f>
        <v>A</v>
      </c>
      <c r="M9" s="10">
        <f t="shared" ref="M9:M23" si="5">IF(I9&gt;=90,4,
   IF(I9&gt;=80,3.7,
   IF(I9&gt;=70,3.3,
   IF(I9&gt;=60,3,
   IF(I9&gt;=50,2.7,
   IF(I9&gt;=40,2,1))))))</f>
        <v>3.7</v>
      </c>
    </row>
    <row r="10" spans="1:13">
      <c r="A10" s="10">
        <v>3</v>
      </c>
      <c r="B10" s="12" t="s">
        <v>27</v>
      </c>
      <c r="C10">
        <v>78</v>
      </c>
      <c r="D10">
        <v>49</v>
      </c>
      <c r="E10">
        <v>88</v>
      </c>
      <c r="F10">
        <v>75</v>
      </c>
      <c r="G10">
        <v>62</v>
      </c>
      <c r="H10" s="10">
        <f t="shared" si="0"/>
        <v>352</v>
      </c>
      <c r="I10" s="10">
        <f t="shared" si="1"/>
        <v>70.400000000000006</v>
      </c>
      <c r="J10" s="11" t="str">
        <f t="shared" si="2"/>
        <v>Pass</v>
      </c>
      <c r="K10" s="2" t="str">
        <f t="shared" si="3"/>
        <v>First</v>
      </c>
      <c r="L10" s="10" t="str">
        <f t="shared" si="4"/>
        <v>A-</v>
      </c>
      <c r="M10" s="10">
        <f t="shared" si="5"/>
        <v>3.3</v>
      </c>
    </row>
    <row r="11" spans="1:13">
      <c r="A11">
        <v>4</v>
      </c>
      <c r="B11" s="2" t="s">
        <v>28</v>
      </c>
      <c r="C11" s="2">
        <v>41</v>
      </c>
      <c r="D11" s="2">
        <v>38</v>
      </c>
      <c r="E11" s="2">
        <v>37</v>
      </c>
      <c r="F11" s="2">
        <v>51</v>
      </c>
      <c r="G11" s="2">
        <v>42</v>
      </c>
      <c r="H11" s="10">
        <f t="shared" si="0"/>
        <v>209</v>
      </c>
      <c r="I11" s="10">
        <f t="shared" si="1"/>
        <v>41.8</v>
      </c>
      <c r="J11" s="11" t="str">
        <f t="shared" si="2"/>
        <v>Fail</v>
      </c>
      <c r="K11" s="2" t="str">
        <f t="shared" si="3"/>
        <v>Fail</v>
      </c>
      <c r="L11" s="10" t="str">
        <f t="shared" si="4"/>
        <v>C</v>
      </c>
      <c r="M11" s="10">
        <f t="shared" si="5"/>
        <v>2</v>
      </c>
    </row>
    <row r="12" spans="1:13">
      <c r="A12" s="10">
        <v>5</v>
      </c>
      <c r="B12" s="15" t="s">
        <v>17</v>
      </c>
      <c r="C12" s="2">
        <v>78</v>
      </c>
      <c r="D12" s="2">
        <v>65</v>
      </c>
      <c r="E12" s="2">
        <v>70</v>
      </c>
      <c r="F12" s="2">
        <v>80</v>
      </c>
      <c r="G12" s="2">
        <v>60</v>
      </c>
      <c r="H12" s="10">
        <f t="shared" si="0"/>
        <v>353</v>
      </c>
      <c r="I12" s="10">
        <f t="shared" si="1"/>
        <v>70.599999999999994</v>
      </c>
      <c r="J12" s="11" t="str">
        <f t="shared" si="2"/>
        <v>Pass</v>
      </c>
      <c r="K12" s="2" t="str">
        <f t="shared" si="3"/>
        <v>First</v>
      </c>
      <c r="L12" s="10" t="str">
        <f t="shared" si="4"/>
        <v>A-</v>
      </c>
      <c r="M12" s="10">
        <f t="shared" si="5"/>
        <v>3.3</v>
      </c>
    </row>
    <row r="13" spans="1:13">
      <c r="A13">
        <v>6</v>
      </c>
      <c r="B13" s="15" t="s">
        <v>23</v>
      </c>
      <c r="C13" s="2">
        <v>85</v>
      </c>
      <c r="D13" s="2">
        <v>82</v>
      </c>
      <c r="E13" s="2">
        <v>90</v>
      </c>
      <c r="F13" s="2">
        <v>88</v>
      </c>
      <c r="G13" s="2">
        <v>84</v>
      </c>
      <c r="H13" s="10">
        <f t="shared" si="0"/>
        <v>429</v>
      </c>
      <c r="I13" s="10">
        <f t="shared" si="1"/>
        <v>85.8</v>
      </c>
      <c r="J13" s="11" t="str">
        <f t="shared" si="2"/>
        <v>Pass</v>
      </c>
      <c r="K13" s="2" t="str">
        <f t="shared" si="3"/>
        <v>Distinction</v>
      </c>
      <c r="L13" s="10" t="str">
        <f t="shared" si="4"/>
        <v>A</v>
      </c>
      <c r="M13" s="10">
        <f t="shared" si="5"/>
        <v>3.7</v>
      </c>
    </row>
    <row r="14" spans="1:13">
      <c r="A14" s="10">
        <v>7</v>
      </c>
      <c r="B14" s="15" t="s">
        <v>24</v>
      </c>
      <c r="C14" s="2">
        <v>40</v>
      </c>
      <c r="D14" s="2">
        <v>35</v>
      </c>
      <c r="E14" s="2">
        <v>55</v>
      </c>
      <c r="F14" s="2">
        <v>48</v>
      </c>
      <c r="G14" s="2">
        <v>60</v>
      </c>
      <c r="H14" s="10">
        <f t="shared" si="0"/>
        <v>238</v>
      </c>
      <c r="I14" s="10">
        <f t="shared" si="1"/>
        <v>47.6</v>
      </c>
      <c r="J14" s="11" t="str">
        <f t="shared" si="2"/>
        <v>Fail</v>
      </c>
      <c r="K14" s="2" t="str">
        <f t="shared" si="3"/>
        <v>Fail</v>
      </c>
      <c r="L14" s="10" t="str">
        <f t="shared" si="4"/>
        <v>C</v>
      </c>
      <c r="M14" s="10">
        <f t="shared" si="5"/>
        <v>2</v>
      </c>
    </row>
    <row r="15" spans="1:13">
      <c r="A15">
        <v>8</v>
      </c>
      <c r="B15" s="12" t="s">
        <v>101</v>
      </c>
      <c r="C15" s="2">
        <v>60</v>
      </c>
      <c r="D15" s="2">
        <v>60</v>
      </c>
      <c r="E15" s="2">
        <v>60</v>
      </c>
      <c r="F15" s="2">
        <v>60</v>
      </c>
      <c r="G15" s="2">
        <v>60</v>
      </c>
      <c r="H15" s="10">
        <f t="shared" si="0"/>
        <v>300</v>
      </c>
      <c r="I15" s="10">
        <f t="shared" si="1"/>
        <v>60</v>
      </c>
      <c r="J15" s="11" t="str">
        <f t="shared" si="2"/>
        <v>Pass</v>
      </c>
      <c r="K15" s="2" t="str">
        <f t="shared" si="3"/>
        <v>First</v>
      </c>
      <c r="L15" s="10" t="str">
        <f t="shared" si="4"/>
        <v>B+</v>
      </c>
      <c r="M15" s="10">
        <f t="shared" si="5"/>
        <v>3</v>
      </c>
    </row>
    <row r="16" spans="1:13">
      <c r="A16" s="10">
        <v>9</v>
      </c>
      <c r="B16" s="12" t="s">
        <v>102</v>
      </c>
      <c r="H16" s="10">
        <f t="shared" si="0"/>
        <v>0</v>
      </c>
      <c r="I16" s="10">
        <f t="shared" si="1"/>
        <v>0</v>
      </c>
      <c r="J16" s="11" t="str">
        <f t="shared" si="2"/>
        <v>Fail</v>
      </c>
      <c r="K16" s="2" t="str">
        <f t="shared" si="3"/>
        <v>Fail</v>
      </c>
      <c r="L16" s="10" t="str">
        <f t="shared" si="4"/>
        <v>D</v>
      </c>
      <c r="M16" s="10">
        <f t="shared" si="5"/>
        <v>1</v>
      </c>
    </row>
    <row r="17" spans="1:13">
      <c r="A17">
        <v>10</v>
      </c>
      <c r="B17" s="12" t="s">
        <v>103</v>
      </c>
      <c r="H17" s="10">
        <f t="shared" si="0"/>
        <v>0</v>
      </c>
      <c r="I17" s="10">
        <f t="shared" si="1"/>
        <v>0</v>
      </c>
      <c r="J17" s="11" t="str">
        <f t="shared" si="2"/>
        <v>Fail</v>
      </c>
      <c r="K17" s="2" t="str">
        <f t="shared" si="3"/>
        <v>Fail</v>
      </c>
      <c r="L17" s="10" t="str">
        <f t="shared" si="4"/>
        <v>D</v>
      </c>
      <c r="M17" s="10">
        <f t="shared" si="5"/>
        <v>1</v>
      </c>
    </row>
    <row r="18" spans="1:13">
      <c r="A18" s="10">
        <v>11</v>
      </c>
      <c r="B18" s="12" t="s">
        <v>29</v>
      </c>
      <c r="C18">
        <v>55</v>
      </c>
      <c r="D18">
        <v>65</v>
      </c>
      <c r="E18">
        <v>78</v>
      </c>
      <c r="F18">
        <v>78</v>
      </c>
      <c r="G18">
        <v>48</v>
      </c>
      <c r="H18" s="10">
        <f t="shared" si="0"/>
        <v>324</v>
      </c>
      <c r="I18" s="10">
        <f t="shared" si="1"/>
        <v>64.8</v>
      </c>
      <c r="J18" s="11" t="str">
        <f t="shared" si="2"/>
        <v>Pass</v>
      </c>
      <c r="K18" s="2" t="str">
        <f t="shared" si="3"/>
        <v>First</v>
      </c>
      <c r="L18" s="10" t="str">
        <f t="shared" si="4"/>
        <v>B+</v>
      </c>
      <c r="M18" s="10">
        <f t="shared" si="5"/>
        <v>3</v>
      </c>
    </row>
    <row r="19" spans="1:13">
      <c r="A19">
        <v>12</v>
      </c>
      <c r="B19" s="12" t="s">
        <v>104</v>
      </c>
      <c r="L19" s="10" t="str">
        <f t="shared" si="4"/>
        <v>D</v>
      </c>
      <c r="M19" s="10">
        <f t="shared" si="5"/>
        <v>1</v>
      </c>
    </row>
    <row r="20" spans="1:13">
      <c r="A20" s="10">
        <v>13</v>
      </c>
      <c r="B20" s="12" t="s">
        <v>105</v>
      </c>
      <c r="L20" s="10" t="str">
        <f t="shared" si="4"/>
        <v>D</v>
      </c>
      <c r="M20" s="10">
        <f t="shared" si="5"/>
        <v>1</v>
      </c>
    </row>
    <row r="21" spans="1:13">
      <c r="A21">
        <v>14</v>
      </c>
      <c r="B21" s="12" t="s">
        <v>106</v>
      </c>
      <c r="L21" s="10" t="str">
        <f t="shared" si="4"/>
        <v>D</v>
      </c>
      <c r="M21" s="10">
        <f t="shared" si="5"/>
        <v>1</v>
      </c>
    </row>
    <row r="22" spans="1:13">
      <c r="A22" s="10">
        <v>15</v>
      </c>
      <c r="B22" s="12" t="s">
        <v>107</v>
      </c>
      <c r="L22" s="10" t="str">
        <f t="shared" si="4"/>
        <v>D</v>
      </c>
      <c r="M22" s="10">
        <f t="shared" si="5"/>
        <v>1</v>
      </c>
    </row>
    <row r="23" spans="1:13">
      <c r="M23" s="10">
        <f t="shared" si="5"/>
        <v>1</v>
      </c>
    </row>
  </sheetData>
  <mergeCells count="1">
    <mergeCell ref="B6:K6"/>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3ECDC-1CAA-478C-B7A4-579260A48068}">
  <dimension ref="C3:E142"/>
  <sheetViews>
    <sheetView topLeftCell="A74" workbookViewId="0">
      <selection activeCell="C128" sqref="C128"/>
    </sheetView>
  </sheetViews>
  <sheetFormatPr defaultRowHeight="15"/>
  <cols>
    <col min="3" max="3" width="107.42578125" customWidth="1"/>
  </cols>
  <sheetData>
    <row r="3" spans="3:3" ht="270">
      <c r="C3" s="8" t="s">
        <v>30</v>
      </c>
    </row>
    <row r="11" spans="3:3" ht="24">
      <c r="C11" s="16" t="s">
        <v>69</v>
      </c>
    </row>
    <row r="12" spans="3:3">
      <c r="C12" s="17"/>
    </row>
    <row r="13" spans="3:3" ht="18">
      <c r="C13" s="18" t="s">
        <v>31</v>
      </c>
    </row>
    <row r="14" spans="3:3">
      <c r="C14" s="19"/>
    </row>
    <row r="15" spans="3:3">
      <c r="C15" s="19" t="s">
        <v>64</v>
      </c>
    </row>
    <row r="16" spans="3:3">
      <c r="C16" s="19"/>
    </row>
    <row r="17" spans="3:5">
      <c r="C17" s="19"/>
    </row>
    <row r="18" spans="3:5">
      <c r="C18" s="20"/>
    </row>
    <row r="19" spans="3:5">
      <c r="C19" s="21" t="s">
        <v>32</v>
      </c>
    </row>
    <row r="20" spans="3:5">
      <c r="C20" s="20"/>
    </row>
    <row r="21" spans="3:5">
      <c r="C21" s="21" t="s">
        <v>33</v>
      </c>
    </row>
    <row r="22" spans="3:5">
      <c r="C22" s="19"/>
    </row>
    <row r="23" spans="3:5">
      <c r="C23" s="19" t="s">
        <v>65</v>
      </c>
    </row>
    <row r="24" spans="3:5">
      <c r="C24" s="19"/>
    </row>
    <row r="25" spans="3:5">
      <c r="C25" s="19" t="s">
        <v>66</v>
      </c>
    </row>
    <row r="26" spans="3:5">
      <c r="C26" s="17"/>
    </row>
    <row r="27" spans="3:5">
      <c r="C27" s="17"/>
    </row>
    <row r="28" spans="3:5">
      <c r="C28" s="17"/>
    </row>
    <row r="29" spans="3:5" ht="18">
      <c r="C29" s="18" t="s">
        <v>34</v>
      </c>
    </row>
    <row r="30" spans="3:5">
      <c r="C30" s="17"/>
    </row>
    <row r="31" spans="3:5">
      <c r="C31" s="22" t="s">
        <v>35</v>
      </c>
      <c r="D31" s="1" t="s">
        <v>36</v>
      </c>
      <c r="E31" s="1" t="s">
        <v>37</v>
      </c>
    </row>
    <row r="32" spans="3:5">
      <c r="C32" s="23" t="s">
        <v>38</v>
      </c>
      <c r="D32" s="2" t="s">
        <v>39</v>
      </c>
      <c r="E32" s="2">
        <v>4</v>
      </c>
    </row>
    <row r="33" spans="3:5">
      <c r="C33" s="23" t="s">
        <v>40</v>
      </c>
      <c r="D33" s="2" t="s">
        <v>0</v>
      </c>
      <c r="E33" s="2">
        <v>3.7</v>
      </c>
    </row>
    <row r="34" spans="3:5">
      <c r="C34" s="23" t="s">
        <v>41</v>
      </c>
      <c r="D34" s="2" t="s">
        <v>42</v>
      </c>
      <c r="E34" s="2">
        <v>3.3</v>
      </c>
    </row>
    <row r="35" spans="3:5">
      <c r="C35" s="23" t="s">
        <v>43</v>
      </c>
      <c r="D35" s="2" t="s">
        <v>44</v>
      </c>
      <c r="E35" s="2">
        <v>3</v>
      </c>
    </row>
    <row r="36" spans="3:5">
      <c r="C36" s="23" t="s">
        <v>45</v>
      </c>
      <c r="D36" s="2" t="s">
        <v>1</v>
      </c>
      <c r="E36" s="2">
        <v>2.7</v>
      </c>
    </row>
    <row r="37" spans="3:5">
      <c r="C37" s="23" t="s">
        <v>46</v>
      </c>
      <c r="D37" s="2" t="s">
        <v>2</v>
      </c>
      <c r="E37" s="2">
        <v>2</v>
      </c>
    </row>
    <row r="38" spans="3:5">
      <c r="C38" s="23" t="s">
        <v>47</v>
      </c>
      <c r="D38" s="2" t="s">
        <v>3</v>
      </c>
      <c r="E38" s="2">
        <v>1</v>
      </c>
    </row>
    <row r="39" spans="3:5">
      <c r="C39" s="17"/>
    </row>
    <row r="40" spans="3:5">
      <c r="C40" s="17"/>
    </row>
    <row r="41" spans="3:5" ht="18">
      <c r="C41" s="18" t="s">
        <v>48</v>
      </c>
    </row>
    <row r="42" spans="3:5">
      <c r="C42" s="17"/>
    </row>
    <row r="43" spans="3:5" ht="15.75">
      <c r="C43" s="24" t="s">
        <v>49</v>
      </c>
    </row>
    <row r="44" spans="3:5">
      <c r="C44" s="17"/>
    </row>
    <row r="45" spans="3:5">
      <c r="C45" s="17" t="s">
        <v>67</v>
      </c>
    </row>
    <row r="46" spans="3:5">
      <c r="C46" s="25"/>
    </row>
    <row r="47" spans="3:5">
      <c r="C47" s="26">
        <f>IF(I8&gt;=90,"A+",)</f>
        <v>0</v>
      </c>
    </row>
    <row r="48" spans="3:5">
      <c r="C48" s="26" t="s">
        <v>50</v>
      </c>
    </row>
    <row r="49" spans="3:3">
      <c r="C49" s="26" t="s">
        <v>51</v>
      </c>
    </row>
    <row r="50" spans="3:3">
      <c r="C50" s="26" t="s">
        <v>52</v>
      </c>
    </row>
    <row r="51" spans="3:3">
      <c r="C51" s="26" t="s">
        <v>53</v>
      </c>
    </row>
    <row r="52" spans="3:3">
      <c r="C52" s="26" t="s">
        <v>54</v>
      </c>
    </row>
    <row r="53" spans="3:3">
      <c r="C53" s="17"/>
    </row>
    <row r="54" spans="3:3" ht="15.75">
      <c r="C54" s="24" t="s">
        <v>55</v>
      </c>
    </row>
    <row r="55" spans="3:3">
      <c r="C55" s="17"/>
    </row>
    <row r="56" spans="3:3">
      <c r="C56" s="17" t="s">
        <v>68</v>
      </c>
    </row>
    <row r="57" spans="3:3">
      <c r="C57" s="25"/>
    </row>
    <row r="58" spans="3:3">
      <c r="C58" s="26">
        <f>IF(I8&gt;=90,4,)</f>
        <v>0</v>
      </c>
    </row>
    <row r="59" spans="3:3">
      <c r="C59" s="26" t="s">
        <v>56</v>
      </c>
    </row>
    <row r="60" spans="3:3">
      <c r="C60" s="26" t="s">
        <v>57</v>
      </c>
    </row>
    <row r="61" spans="3:3">
      <c r="C61" s="26" t="s">
        <v>58</v>
      </c>
    </row>
    <row r="62" spans="3:3">
      <c r="C62" s="26" t="s">
        <v>59</v>
      </c>
    </row>
    <row r="63" spans="3:3">
      <c r="C63" s="26" t="s">
        <v>60</v>
      </c>
    </row>
    <row r="64" spans="3:3">
      <c r="C64" s="17"/>
    </row>
    <row r="65" spans="3:3" ht="15.75">
      <c r="C65" s="24" t="s">
        <v>61</v>
      </c>
    </row>
    <row r="66" spans="3:3">
      <c r="C66" s="17"/>
    </row>
    <row r="67" spans="3:3">
      <c r="C67" s="17" t="s">
        <v>62</v>
      </c>
    </row>
    <row r="68" spans="3:3">
      <c r="C68" s="25"/>
    </row>
    <row r="69" spans="3:3">
      <c r="C69" s="26" t="s">
        <v>63</v>
      </c>
    </row>
    <row r="70" spans="3:3">
      <c r="C70" s="17"/>
    </row>
    <row r="80" spans="3:3" ht="24">
      <c r="C80" s="27" t="s">
        <v>70</v>
      </c>
    </row>
    <row r="81" spans="3:3">
      <c r="C81" s="28"/>
    </row>
    <row r="82" spans="3:3" ht="18">
      <c r="C82" s="29" t="s">
        <v>71</v>
      </c>
    </row>
    <row r="83" spans="3:3">
      <c r="C83" s="28"/>
    </row>
    <row r="84" spans="3:3">
      <c r="C84" s="30" t="s">
        <v>72</v>
      </c>
    </row>
    <row r="85" spans="3:3">
      <c r="C85" s="28" t="s">
        <v>73</v>
      </c>
    </row>
    <row r="86" spans="3:3">
      <c r="C86" s="31"/>
    </row>
    <row r="87" spans="3:3">
      <c r="C87" s="32" t="s">
        <v>83</v>
      </c>
    </row>
    <row r="88" spans="3:3">
      <c r="C88" s="31"/>
    </row>
    <row r="89" spans="3:3">
      <c r="C89" s="32" t="s">
        <v>84</v>
      </c>
    </row>
    <row r="90" spans="3:3">
      <c r="C90" s="28"/>
    </row>
    <row r="91" spans="3:3">
      <c r="C91" s="30" t="s">
        <v>74</v>
      </c>
    </row>
    <row r="92" spans="3:3">
      <c r="C92" s="31"/>
    </row>
    <row r="93" spans="3:3">
      <c r="C93" s="31" t="s">
        <v>85</v>
      </c>
    </row>
    <row r="94" spans="3:3">
      <c r="C94" s="31"/>
    </row>
    <row r="95" spans="3:3">
      <c r="C95" s="31" t="s">
        <v>86</v>
      </c>
    </row>
    <row r="96" spans="3:3">
      <c r="C96" s="31"/>
    </row>
    <row r="97" spans="3:3">
      <c r="C97" s="31" t="s">
        <v>87</v>
      </c>
    </row>
    <row r="98" spans="3:3">
      <c r="C98" s="33"/>
    </row>
    <row r="99" spans="3:3">
      <c r="C99" s="34" t="s">
        <v>95</v>
      </c>
    </row>
    <row r="100" spans="3:3">
      <c r="C100" s="31"/>
    </row>
    <row r="101" spans="3:3">
      <c r="C101" s="31" t="s">
        <v>88</v>
      </c>
    </row>
    <row r="102" spans="3:3">
      <c r="C102" s="31"/>
    </row>
    <row r="103" spans="3:3">
      <c r="C103" s="31" t="s">
        <v>89</v>
      </c>
    </row>
    <row r="104" spans="3:3">
      <c r="C104" s="33"/>
    </row>
    <row r="105" spans="3:3">
      <c r="C105" s="34" t="s">
        <v>96</v>
      </c>
    </row>
    <row r="106" spans="3:3">
      <c r="C106" s="31"/>
    </row>
    <row r="107" spans="3:3">
      <c r="C107" s="31" t="s">
        <v>90</v>
      </c>
    </row>
    <row r="108" spans="3:3">
      <c r="C108" s="31"/>
    </row>
    <row r="109" spans="3:3">
      <c r="C109" s="31" t="s">
        <v>91</v>
      </c>
    </row>
    <row r="110" spans="3:3">
      <c r="C110" s="28"/>
    </row>
    <row r="111" spans="3:3">
      <c r="C111" s="28"/>
    </row>
    <row r="112" spans="3:3">
      <c r="C112" s="28"/>
    </row>
    <row r="113" spans="3:3" ht="18">
      <c r="C113" s="29" t="s">
        <v>75</v>
      </c>
    </row>
    <row r="114" spans="3:3">
      <c r="C114" s="28"/>
    </row>
    <row r="115" spans="3:3">
      <c r="C115" s="30" t="s">
        <v>72</v>
      </c>
    </row>
    <row r="116" spans="3:3">
      <c r="C116" s="28" t="s">
        <v>76</v>
      </c>
    </row>
    <row r="117" spans="3:3">
      <c r="C117" s="28"/>
    </row>
    <row r="118" spans="3:3">
      <c r="C118" s="30" t="s">
        <v>77</v>
      </c>
    </row>
    <row r="119" spans="3:3">
      <c r="C119" s="33"/>
    </row>
    <row r="120" spans="3:3">
      <c r="C120" s="34" t="s">
        <v>97</v>
      </c>
    </row>
    <row r="121" spans="3:3">
      <c r="C121" s="28"/>
    </row>
    <row r="122" spans="3:3">
      <c r="C122" s="30" t="s">
        <v>74</v>
      </c>
    </row>
    <row r="123" spans="3:3">
      <c r="C123" s="31"/>
    </row>
    <row r="124" spans="3:3">
      <c r="C124" s="31" t="s">
        <v>92</v>
      </c>
    </row>
    <row r="125" spans="3:3">
      <c r="C125" s="31"/>
    </row>
    <row r="126" spans="3:3">
      <c r="C126" s="31" t="s">
        <v>78</v>
      </c>
    </row>
    <row r="127" spans="3:3">
      <c r="C127" s="33"/>
    </row>
    <row r="128" spans="3:3">
      <c r="C128" s="34" t="s">
        <v>98</v>
      </c>
    </row>
    <row r="129" spans="3:3">
      <c r="C129" s="31"/>
    </row>
    <row r="130" spans="3:3">
      <c r="C130" s="31" t="s">
        <v>93</v>
      </c>
    </row>
    <row r="131" spans="3:3">
      <c r="C131" s="33"/>
    </row>
    <row r="132" spans="3:3">
      <c r="C132" s="34" t="s">
        <v>79</v>
      </c>
    </row>
    <row r="133" spans="3:3">
      <c r="C133" s="31"/>
    </row>
    <row r="134" spans="3:3">
      <c r="C134" s="31" t="s">
        <v>80</v>
      </c>
    </row>
    <row r="135" spans="3:3">
      <c r="C135" s="31"/>
    </row>
    <row r="136" spans="3:3">
      <c r="C136" s="31"/>
    </row>
    <row r="137" spans="3:3">
      <c r="C137" s="35"/>
    </row>
    <row r="138" spans="3:3">
      <c r="C138" s="35" t="s">
        <v>81</v>
      </c>
    </row>
    <row r="139" spans="3:3">
      <c r="C139" s="35"/>
    </row>
    <row r="140" spans="3:3">
      <c r="C140" s="35" t="s">
        <v>94</v>
      </c>
    </row>
    <row r="141" spans="3:3">
      <c r="C141" s="35"/>
    </row>
    <row r="142" spans="3:3">
      <c r="C142" s="35" t="s">
        <v>82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698BB-3A20-4D76-8215-6C7E8708AAB0}">
  <dimension ref="A1:H6"/>
  <sheetViews>
    <sheetView workbookViewId="0">
      <selection activeCell="H1" sqref="H1"/>
    </sheetView>
  </sheetViews>
  <sheetFormatPr defaultRowHeight="15"/>
  <cols>
    <col min="1" max="1" width="14.28515625" customWidth="1"/>
    <col min="2" max="2" width="35.5703125" customWidth="1"/>
    <col min="3" max="3" width="9.140625" customWidth="1"/>
    <col min="4" max="4" width="21" customWidth="1"/>
    <col min="5" max="5" width="17.28515625" customWidth="1"/>
    <col min="6" max="6" width="20.140625" customWidth="1"/>
    <col min="7" max="7" width="9.140625" customWidth="1"/>
  </cols>
  <sheetData>
    <row r="1" spans="1:8">
      <c r="A1" s="1" t="s">
        <v>16</v>
      </c>
      <c r="B1" s="1" t="s">
        <v>108</v>
      </c>
      <c r="C1" s="1" t="s">
        <v>109</v>
      </c>
      <c r="D1" s="1" t="s">
        <v>110</v>
      </c>
      <c r="E1" s="1" t="s">
        <v>111</v>
      </c>
      <c r="F1" s="1" t="s">
        <v>112</v>
      </c>
      <c r="G1" t="s">
        <v>144</v>
      </c>
      <c r="H1" t="s">
        <v>126</v>
      </c>
    </row>
    <row r="2" spans="1:8">
      <c r="A2" s="2">
        <v>1</v>
      </c>
      <c r="B2" s="2" t="s">
        <v>113</v>
      </c>
      <c r="C2" s="2" t="s">
        <v>114</v>
      </c>
      <c r="D2" s="2">
        <v>2</v>
      </c>
      <c r="E2" s="36">
        <v>65000</v>
      </c>
      <c r="F2" s="37">
        <f>D8*E8</f>
        <v>0</v>
      </c>
    </row>
    <row r="3" spans="1:8">
      <c r="A3" s="2">
        <v>2</v>
      </c>
      <c r="B3" s="2" t="s">
        <v>115</v>
      </c>
      <c r="C3" s="2" t="s">
        <v>116</v>
      </c>
      <c r="D3" s="2">
        <v>3</v>
      </c>
      <c r="E3" s="36">
        <v>12000</v>
      </c>
      <c r="F3" s="37">
        <f>D9*E9</f>
        <v>0</v>
      </c>
    </row>
    <row r="4" spans="1:8">
      <c r="A4" s="2">
        <v>3</v>
      </c>
      <c r="B4" s="2" t="s">
        <v>117</v>
      </c>
      <c r="C4" s="2" t="s">
        <v>118</v>
      </c>
      <c r="D4" s="2">
        <v>4</v>
      </c>
      <c r="E4" s="36">
        <v>15000</v>
      </c>
      <c r="F4" s="37">
        <f>D10*E10</f>
        <v>0</v>
      </c>
    </row>
    <row r="5" spans="1:8">
      <c r="A5" s="2">
        <v>4</v>
      </c>
      <c r="B5" s="2" t="s">
        <v>119</v>
      </c>
      <c r="C5" s="2" t="s">
        <v>120</v>
      </c>
      <c r="D5" s="2">
        <v>10</v>
      </c>
      <c r="E5" s="2">
        <v>800</v>
      </c>
      <c r="F5" s="37">
        <f>D11*E11</f>
        <v>0</v>
      </c>
    </row>
    <row r="6" spans="1:8" ht="30">
      <c r="A6" s="2">
        <v>5</v>
      </c>
      <c r="B6" s="2" t="s">
        <v>121</v>
      </c>
      <c r="C6" s="2" t="s">
        <v>122</v>
      </c>
      <c r="D6" s="2">
        <v>5</v>
      </c>
      <c r="E6" s="36">
        <v>1200</v>
      </c>
      <c r="F6" s="37">
        <f>D12*E12</f>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D43CA-0668-4B8C-8201-3603815D8D73}">
  <dimension ref="B3:D9"/>
  <sheetViews>
    <sheetView workbookViewId="0">
      <selection activeCell="D9" sqref="D9"/>
    </sheetView>
  </sheetViews>
  <sheetFormatPr defaultRowHeight="15"/>
  <cols>
    <col min="2" max="2" width="23" customWidth="1"/>
    <col min="3" max="3" width="24" customWidth="1"/>
    <col min="4" max="4" width="26.5703125" customWidth="1"/>
  </cols>
  <sheetData>
    <row r="3" spans="2:4">
      <c r="B3" s="1" t="s">
        <v>123</v>
      </c>
      <c r="C3" s="1" t="s">
        <v>124</v>
      </c>
      <c r="D3" s="1" t="s">
        <v>125</v>
      </c>
    </row>
    <row r="4" spans="2:4">
      <c r="B4" s="38" t="s">
        <v>126</v>
      </c>
      <c r="C4" s="37" t="s">
        <v>138</v>
      </c>
      <c r="D4" s="2" t="s">
        <v>127</v>
      </c>
    </row>
    <row r="5" spans="2:4">
      <c r="B5" s="38" t="s">
        <v>128</v>
      </c>
      <c r="C5" s="37" t="s">
        <v>139</v>
      </c>
      <c r="D5" s="2" t="s">
        <v>129</v>
      </c>
    </row>
    <row r="6" spans="2:4">
      <c r="B6" s="38" t="s">
        <v>130</v>
      </c>
      <c r="C6" s="37" t="s">
        <v>140</v>
      </c>
      <c r="D6" s="2" t="s">
        <v>131</v>
      </c>
    </row>
    <row r="7" spans="2:4">
      <c r="B7" s="38" t="s">
        <v>132</v>
      </c>
      <c r="C7" s="37" t="s">
        <v>141</v>
      </c>
      <c r="D7" s="2" t="s">
        <v>133</v>
      </c>
    </row>
    <row r="8" spans="2:4">
      <c r="B8" s="38" t="s">
        <v>134</v>
      </c>
      <c r="C8" s="37" t="s">
        <v>142</v>
      </c>
      <c r="D8" s="2" t="s">
        <v>135</v>
      </c>
    </row>
    <row r="9" spans="2:4" ht="30">
      <c r="B9" s="38" t="s">
        <v>136</v>
      </c>
      <c r="C9" s="37" t="s">
        <v>143</v>
      </c>
      <c r="D9" s="2" t="s">
        <v>137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E5FC68-2D3A-4EDE-9E86-B63288BF6466}">
  <dimension ref="A1:J21"/>
  <sheetViews>
    <sheetView workbookViewId="0">
      <selection activeCell="E8" sqref="E8"/>
    </sheetView>
  </sheetViews>
  <sheetFormatPr defaultRowHeight="15"/>
  <cols>
    <col min="1" max="1" width="9.140625" style="41"/>
    <col min="2" max="2" width="30.42578125" style="41" customWidth="1"/>
    <col min="3" max="3" width="9.140625" style="41"/>
    <col min="4" max="4" width="12" style="41" customWidth="1"/>
    <col min="5" max="5" width="21.140625" style="41" customWidth="1"/>
    <col min="6" max="6" width="17.140625" style="41" customWidth="1"/>
    <col min="7" max="7" width="14.85546875" style="41" customWidth="1"/>
    <col min="8" max="8" width="15.42578125" style="41" customWidth="1"/>
    <col min="9" max="9" width="17" style="41" customWidth="1"/>
    <col min="10" max="10" width="20.140625" style="41" customWidth="1"/>
    <col min="11" max="16384" width="9.140625" style="41"/>
  </cols>
  <sheetData>
    <row r="1" spans="1:10" s="45" customFormat="1">
      <c r="A1" s="44" t="s">
        <v>16</v>
      </c>
      <c r="B1" s="44" t="s">
        <v>145</v>
      </c>
      <c r="C1" s="44" t="s">
        <v>109</v>
      </c>
      <c r="D1" s="44" t="s">
        <v>110</v>
      </c>
      <c r="E1" s="44" t="s">
        <v>146</v>
      </c>
      <c r="F1" s="44" t="s">
        <v>112</v>
      </c>
      <c r="G1" s="44" t="s">
        <v>147</v>
      </c>
      <c r="H1" s="44" t="s">
        <v>148</v>
      </c>
      <c r="I1" s="44" t="s">
        <v>149</v>
      </c>
      <c r="J1" s="44" t="s">
        <v>150</v>
      </c>
    </row>
    <row r="2" spans="1:10">
      <c r="A2" s="10">
        <v>1</v>
      </c>
      <c r="B2" s="10" t="s">
        <v>151</v>
      </c>
      <c r="C2" s="10" t="s">
        <v>114</v>
      </c>
      <c r="D2" s="10">
        <v>2</v>
      </c>
      <c r="E2" s="42">
        <v>65000</v>
      </c>
      <c r="F2" s="43">
        <f>D8*E8</f>
        <v>25000</v>
      </c>
      <c r="G2" s="10">
        <v>5</v>
      </c>
      <c r="H2" s="43">
        <f t="shared" ref="H2:H5" si="0">F2-(F2*G2/100)</f>
        <v>23750</v>
      </c>
      <c r="I2" s="10" t="s">
        <v>152</v>
      </c>
      <c r="J2" s="10" t="s">
        <v>153</v>
      </c>
    </row>
    <row r="3" spans="1:10">
      <c r="A3" s="10">
        <v>2</v>
      </c>
      <c r="B3" s="10" t="s">
        <v>154</v>
      </c>
      <c r="C3" s="10" t="s">
        <v>116</v>
      </c>
      <c r="D3" s="10">
        <v>3</v>
      </c>
      <c r="E3" s="42">
        <v>12000</v>
      </c>
      <c r="F3" s="43">
        <f t="shared" ref="F3:F5" si="1">D9*E9</f>
        <v>9600</v>
      </c>
      <c r="G3" s="10">
        <v>10</v>
      </c>
      <c r="H3" s="43">
        <f t="shared" si="0"/>
        <v>8640</v>
      </c>
      <c r="I3" s="10" t="s">
        <v>155</v>
      </c>
      <c r="J3" s="10" t="s">
        <v>156</v>
      </c>
    </row>
    <row r="4" spans="1:10">
      <c r="A4" s="10">
        <v>3</v>
      </c>
      <c r="B4" s="10" t="s">
        <v>157</v>
      </c>
      <c r="C4" s="10" t="s">
        <v>158</v>
      </c>
      <c r="D4" s="10">
        <v>4</v>
      </c>
      <c r="E4" s="42">
        <v>25000</v>
      </c>
      <c r="F4" s="43">
        <f t="shared" si="1"/>
        <v>10800</v>
      </c>
      <c r="G4" s="10">
        <v>5</v>
      </c>
      <c r="H4" s="43">
        <f t="shared" si="0"/>
        <v>10260</v>
      </c>
      <c r="I4" s="10" t="s">
        <v>159</v>
      </c>
      <c r="J4" s="10" t="s">
        <v>153</v>
      </c>
    </row>
    <row r="5" spans="1:10">
      <c r="A5" s="10">
        <v>4</v>
      </c>
      <c r="B5" s="10" t="s">
        <v>160</v>
      </c>
      <c r="C5" s="10" t="s">
        <v>161</v>
      </c>
      <c r="D5" s="10">
        <v>6</v>
      </c>
      <c r="E5" s="42">
        <v>3000</v>
      </c>
      <c r="F5" s="43">
        <f t="shared" si="1"/>
        <v>3000</v>
      </c>
      <c r="G5" s="10">
        <v>7</v>
      </c>
      <c r="H5" s="43">
        <f t="shared" si="0"/>
        <v>2790</v>
      </c>
      <c r="I5" s="10" t="s">
        <v>162</v>
      </c>
      <c r="J5" s="10" t="s">
        <v>156</v>
      </c>
    </row>
    <row r="6" spans="1:10">
      <c r="A6" s="10">
        <v>5</v>
      </c>
      <c r="B6" s="10" t="s">
        <v>163</v>
      </c>
      <c r="C6" s="10" t="s">
        <v>164</v>
      </c>
      <c r="D6" s="10">
        <v>50</v>
      </c>
      <c r="E6" s="10">
        <v>100</v>
      </c>
      <c r="F6" s="43">
        <f>D6*E6</f>
        <v>5000</v>
      </c>
      <c r="G6" s="10">
        <v>2</v>
      </c>
      <c r="H6" s="43">
        <f>F6-(F6*G6/100)</f>
        <v>4900</v>
      </c>
      <c r="I6" s="10" t="s">
        <v>165</v>
      </c>
      <c r="J6" s="10" t="s">
        <v>153</v>
      </c>
    </row>
    <row r="7" spans="1:10">
      <c r="A7" s="10">
        <v>6</v>
      </c>
      <c r="B7" s="10" t="s">
        <v>166</v>
      </c>
      <c r="C7" s="10" t="s">
        <v>167</v>
      </c>
      <c r="D7" s="10">
        <v>5</v>
      </c>
      <c r="E7" s="42">
        <v>28000</v>
      </c>
      <c r="F7" s="43">
        <f t="shared" ref="F7:F21" si="2">D7*E7</f>
        <v>140000</v>
      </c>
      <c r="G7" s="10">
        <v>8</v>
      </c>
      <c r="H7" s="43">
        <f t="shared" ref="H7:H21" si="3">F7-(F7*G7/100)</f>
        <v>128800</v>
      </c>
      <c r="I7" s="10" t="s">
        <v>168</v>
      </c>
      <c r="J7" s="10" t="s">
        <v>156</v>
      </c>
    </row>
    <row r="8" spans="1:10">
      <c r="A8" s="10">
        <v>7</v>
      </c>
      <c r="B8" s="10" t="s">
        <v>169</v>
      </c>
      <c r="C8" s="10" t="s">
        <v>170</v>
      </c>
      <c r="D8" s="10">
        <v>10</v>
      </c>
      <c r="E8" s="42">
        <v>2500</v>
      </c>
      <c r="F8" s="43">
        <f t="shared" si="2"/>
        <v>25000</v>
      </c>
      <c r="G8" s="10">
        <v>5</v>
      </c>
      <c r="H8" s="43">
        <f t="shared" si="3"/>
        <v>23750</v>
      </c>
      <c r="I8" s="10" t="s">
        <v>171</v>
      </c>
      <c r="J8" s="10" t="s">
        <v>153</v>
      </c>
    </row>
    <row r="9" spans="1:10">
      <c r="A9" s="10">
        <v>8</v>
      </c>
      <c r="B9" s="10" t="s">
        <v>172</v>
      </c>
      <c r="C9" s="10" t="s">
        <v>173</v>
      </c>
      <c r="D9" s="10">
        <v>8</v>
      </c>
      <c r="E9" s="42">
        <v>1200</v>
      </c>
      <c r="F9" s="43">
        <f t="shared" si="2"/>
        <v>9600</v>
      </c>
      <c r="G9" s="10">
        <v>3</v>
      </c>
      <c r="H9" s="43">
        <f t="shared" si="3"/>
        <v>9312</v>
      </c>
      <c r="I9" s="10" t="s">
        <v>174</v>
      </c>
      <c r="J9" s="10" t="s">
        <v>156</v>
      </c>
    </row>
    <row r="10" spans="1:10">
      <c r="A10" s="10">
        <v>9</v>
      </c>
      <c r="B10" s="10" t="s">
        <v>175</v>
      </c>
      <c r="C10" s="10" t="s">
        <v>176</v>
      </c>
      <c r="D10" s="10">
        <v>12</v>
      </c>
      <c r="E10" s="10">
        <v>900</v>
      </c>
      <c r="F10" s="43">
        <f t="shared" si="2"/>
        <v>10800</v>
      </c>
      <c r="G10" s="10">
        <v>6</v>
      </c>
      <c r="H10" s="43">
        <f t="shared" si="3"/>
        <v>10152</v>
      </c>
      <c r="I10" s="10" t="s">
        <v>177</v>
      </c>
      <c r="J10" s="10" t="s">
        <v>153</v>
      </c>
    </row>
    <row r="11" spans="1:10">
      <c r="A11" s="10">
        <v>10</v>
      </c>
      <c r="B11" s="10" t="s">
        <v>178</v>
      </c>
      <c r="C11" s="10" t="s">
        <v>179</v>
      </c>
      <c r="D11" s="10">
        <v>20</v>
      </c>
      <c r="E11" s="10">
        <v>150</v>
      </c>
      <c r="F11" s="43">
        <f t="shared" si="2"/>
        <v>3000</v>
      </c>
      <c r="G11" s="10">
        <v>4</v>
      </c>
      <c r="H11" s="43">
        <f t="shared" si="3"/>
        <v>2880</v>
      </c>
      <c r="I11" s="10" t="s">
        <v>180</v>
      </c>
      <c r="J11" s="10" t="s">
        <v>156</v>
      </c>
    </row>
    <row r="12" spans="1:10">
      <c r="A12" s="10">
        <v>11</v>
      </c>
      <c r="F12" s="43">
        <f t="shared" si="2"/>
        <v>0</v>
      </c>
      <c r="H12" s="43">
        <f t="shared" si="3"/>
        <v>0</v>
      </c>
    </row>
    <row r="13" spans="1:10">
      <c r="A13" s="10">
        <v>12</v>
      </c>
      <c r="F13" s="43">
        <f t="shared" si="2"/>
        <v>0</v>
      </c>
      <c r="H13" s="43">
        <f t="shared" si="3"/>
        <v>0</v>
      </c>
    </row>
    <row r="14" spans="1:10">
      <c r="A14" s="10">
        <v>13</v>
      </c>
      <c r="F14" s="43">
        <f t="shared" si="2"/>
        <v>0</v>
      </c>
      <c r="H14" s="43">
        <f t="shared" si="3"/>
        <v>0</v>
      </c>
    </row>
    <row r="15" spans="1:10">
      <c r="A15" s="10">
        <v>14</v>
      </c>
      <c r="F15" s="43">
        <f t="shared" si="2"/>
        <v>0</v>
      </c>
      <c r="H15" s="43">
        <f t="shared" si="3"/>
        <v>0</v>
      </c>
    </row>
    <row r="16" spans="1:10">
      <c r="A16" s="10">
        <v>15</v>
      </c>
      <c r="F16" s="43">
        <f t="shared" si="2"/>
        <v>0</v>
      </c>
      <c r="H16" s="43">
        <f t="shared" si="3"/>
        <v>0</v>
      </c>
    </row>
    <row r="17" spans="1:8">
      <c r="A17" s="10">
        <v>16</v>
      </c>
      <c r="F17" s="43">
        <f t="shared" si="2"/>
        <v>0</v>
      </c>
      <c r="H17" s="43">
        <f t="shared" si="3"/>
        <v>0</v>
      </c>
    </row>
    <row r="18" spans="1:8">
      <c r="A18" s="10">
        <v>17</v>
      </c>
      <c r="F18" s="43">
        <f t="shared" si="2"/>
        <v>0</v>
      </c>
      <c r="H18" s="43">
        <f t="shared" si="3"/>
        <v>0</v>
      </c>
    </row>
    <row r="19" spans="1:8">
      <c r="A19" s="10">
        <v>18</v>
      </c>
      <c r="F19" s="43">
        <f t="shared" si="2"/>
        <v>0</v>
      </c>
      <c r="H19" s="43">
        <f t="shared" si="3"/>
        <v>0</v>
      </c>
    </row>
    <row r="20" spans="1:8">
      <c r="A20" s="10">
        <v>19</v>
      </c>
      <c r="F20" s="43">
        <f t="shared" si="2"/>
        <v>0</v>
      </c>
      <c r="H20" s="43">
        <f t="shared" si="3"/>
        <v>0</v>
      </c>
    </row>
    <row r="21" spans="1:8">
      <c r="A21" s="10">
        <v>20</v>
      </c>
      <c r="F21" s="43">
        <f t="shared" si="2"/>
        <v>0</v>
      </c>
      <c r="H21" s="43">
        <f t="shared" si="3"/>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CF8DE-B855-440E-AF32-1367B8E2D160}">
  <dimension ref="A1:C150"/>
  <sheetViews>
    <sheetView workbookViewId="0">
      <selection activeCell="A13" sqref="A13"/>
    </sheetView>
  </sheetViews>
  <sheetFormatPr defaultRowHeight="15"/>
  <cols>
    <col min="1" max="1" width="39.5703125" style="58" customWidth="1"/>
    <col min="2" max="2" width="23.140625" style="58" customWidth="1"/>
    <col min="3" max="3" width="40.140625" style="58" customWidth="1"/>
    <col min="4" max="16384" width="9.140625" style="58"/>
  </cols>
  <sheetData>
    <row r="1" spans="1:3" ht="30.75">
      <c r="A1" s="57" t="s">
        <v>265</v>
      </c>
      <c r="B1" s="57"/>
      <c r="C1" s="57"/>
    </row>
    <row r="2" spans="1:3">
      <c r="A2" s="58" t="s">
        <v>266</v>
      </c>
      <c r="B2" s="52"/>
      <c r="C2" s="53"/>
    </row>
    <row r="3" spans="1:3">
      <c r="A3" s="53"/>
      <c r="B3" s="52"/>
      <c r="C3" s="53"/>
    </row>
    <row r="4" spans="1:3">
      <c r="A4" s="59" t="s">
        <v>267</v>
      </c>
      <c r="B4" s="59" t="s">
        <v>268</v>
      </c>
      <c r="C4" s="59" t="s">
        <v>125</v>
      </c>
    </row>
    <row r="5" spans="1:3">
      <c r="A5" s="53" t="s">
        <v>269</v>
      </c>
      <c r="B5" s="52" t="s">
        <v>289</v>
      </c>
      <c r="C5" s="53" t="s">
        <v>270</v>
      </c>
    </row>
    <row r="6" spans="1:3">
      <c r="A6" s="53" t="s">
        <v>271</v>
      </c>
      <c r="B6" s="52" t="s">
        <v>290</v>
      </c>
      <c r="C6" s="53" t="s">
        <v>272</v>
      </c>
    </row>
    <row r="7" spans="1:3">
      <c r="A7" s="53" t="s">
        <v>273</v>
      </c>
      <c r="B7" s="52" t="s">
        <v>291</v>
      </c>
      <c r="C7" s="53" t="s">
        <v>274</v>
      </c>
    </row>
    <row r="8" spans="1:3">
      <c r="A8" s="53" t="s">
        <v>275</v>
      </c>
      <c r="B8" s="52" t="s">
        <v>292</v>
      </c>
      <c r="C8" s="53" t="s">
        <v>276</v>
      </c>
    </row>
    <row r="9" spans="1:3">
      <c r="A9" s="53" t="s">
        <v>277</v>
      </c>
      <c r="B9" s="52" t="s">
        <v>293</v>
      </c>
      <c r="C9" s="53" t="s">
        <v>278</v>
      </c>
    </row>
    <row r="10" spans="1:3">
      <c r="A10" s="53" t="s">
        <v>279</v>
      </c>
      <c r="B10" s="52" t="s">
        <v>294</v>
      </c>
      <c r="C10" s="53" t="s">
        <v>280</v>
      </c>
    </row>
    <row r="11" spans="1:3" ht="25.5">
      <c r="A11" s="53" t="s">
        <v>281</v>
      </c>
      <c r="B11" s="52" t="s">
        <v>295</v>
      </c>
      <c r="C11" s="53" t="s">
        <v>282</v>
      </c>
    </row>
    <row r="12" spans="1:3">
      <c r="A12" s="53" t="s">
        <v>283</v>
      </c>
      <c r="B12" s="52" t="s">
        <v>296</v>
      </c>
      <c r="C12" s="53" t="s">
        <v>284</v>
      </c>
    </row>
    <row r="13" spans="1:3">
      <c r="A13" s="53" t="s">
        <v>285</v>
      </c>
      <c r="B13" s="52" t="s">
        <v>297</v>
      </c>
      <c r="C13" s="53" t="s">
        <v>286</v>
      </c>
    </row>
    <row r="14" spans="1:3">
      <c r="A14" s="53" t="s">
        <v>287</v>
      </c>
      <c r="B14" s="52" t="s">
        <v>298</v>
      </c>
      <c r="C14" s="53" t="s">
        <v>288</v>
      </c>
    </row>
    <row r="21" spans="1:3" ht="30.75">
      <c r="A21" s="57" t="s">
        <v>299</v>
      </c>
      <c r="B21" s="57"/>
      <c r="C21" s="57"/>
    </row>
    <row r="24" spans="1:3">
      <c r="A24" s="60" t="s">
        <v>300</v>
      </c>
      <c r="C24" s="61"/>
    </row>
    <row r="25" spans="1:3">
      <c r="A25" s="62"/>
      <c r="C25" s="61"/>
    </row>
    <row r="26" spans="1:3">
      <c r="A26" s="62"/>
      <c r="C26" s="61"/>
    </row>
    <row r="27" spans="1:3">
      <c r="A27" s="62"/>
      <c r="C27" s="61"/>
    </row>
    <row r="28" spans="1:3">
      <c r="A28" s="62"/>
      <c r="C28" s="61"/>
    </row>
    <row r="29" spans="1:3">
      <c r="A29" s="62"/>
      <c r="C29" s="61"/>
    </row>
    <row r="30" spans="1:3">
      <c r="A30" s="62"/>
      <c r="C30" s="61"/>
    </row>
    <row r="34" spans="1:1">
      <c r="A34" s="63" t="s">
        <v>301</v>
      </c>
    </row>
    <row r="35" spans="1:1">
      <c r="A35" s="64"/>
    </row>
    <row r="36" spans="1:1">
      <c r="A36" s="64" t="s">
        <v>315</v>
      </c>
    </row>
    <row r="37" spans="1:1">
      <c r="A37" s="64"/>
    </row>
    <row r="38" spans="1:1">
      <c r="A38" s="64" t="s">
        <v>316</v>
      </c>
    </row>
    <row r="39" spans="1:1">
      <c r="A39" s="64"/>
    </row>
    <row r="40" spans="1:1">
      <c r="A40" s="64" t="s">
        <v>317</v>
      </c>
    </row>
    <row r="46" spans="1:1">
      <c r="A46" s="65" t="s">
        <v>302</v>
      </c>
    </row>
    <row r="47" spans="1:1">
      <c r="A47" s="66"/>
    </row>
    <row r="48" spans="1:1">
      <c r="A48" s="66" t="s">
        <v>318</v>
      </c>
    </row>
    <row r="49" spans="1:1">
      <c r="A49" s="66"/>
    </row>
    <row r="50" spans="1:1">
      <c r="A50" s="66" t="s">
        <v>303</v>
      </c>
    </row>
    <row r="51" spans="1:1">
      <c r="A51" s="66"/>
    </row>
    <row r="52" spans="1:1">
      <c r="A52" s="66" t="s">
        <v>319</v>
      </c>
    </row>
    <row r="58" spans="1:1">
      <c r="A58" s="65" t="s">
        <v>304</v>
      </c>
    </row>
    <row r="59" spans="1:1">
      <c r="A59" s="66"/>
    </row>
    <row r="60" spans="1:1">
      <c r="A60" s="66" t="s">
        <v>320</v>
      </c>
    </row>
    <row r="61" spans="1:1">
      <c r="A61" s="66"/>
    </row>
    <row r="62" spans="1:1">
      <c r="A62" s="66" t="s">
        <v>305</v>
      </c>
    </row>
    <row r="63" spans="1:1">
      <c r="A63" s="66"/>
    </row>
    <row r="64" spans="1:1">
      <c r="A64" s="66" t="s">
        <v>321</v>
      </c>
    </row>
    <row r="73" spans="1:1">
      <c r="A73" s="65" t="s">
        <v>306</v>
      </c>
    </row>
    <row r="74" spans="1:1">
      <c r="A74" s="66"/>
    </row>
    <row r="75" spans="1:1">
      <c r="A75" s="66" t="s">
        <v>322</v>
      </c>
    </row>
    <row r="76" spans="1:1">
      <c r="A76" s="66"/>
    </row>
    <row r="77" spans="1:1">
      <c r="A77" s="66" t="s">
        <v>307</v>
      </c>
    </row>
    <row r="78" spans="1:1">
      <c r="A78" s="66"/>
    </row>
    <row r="79" spans="1:1">
      <c r="A79" s="66" t="s">
        <v>323</v>
      </c>
    </row>
    <row r="88" spans="1:1">
      <c r="A88" s="65" t="s">
        <v>308</v>
      </c>
    </row>
    <row r="89" spans="1:1">
      <c r="A89" s="66"/>
    </row>
    <row r="90" spans="1:1">
      <c r="A90" s="66" t="s">
        <v>309</v>
      </c>
    </row>
    <row r="91" spans="1:1">
      <c r="A91" s="66"/>
    </row>
    <row r="92" spans="1:1">
      <c r="A92" s="66" t="s">
        <v>324</v>
      </c>
    </row>
    <row r="99" spans="1:1">
      <c r="A99" s="65" t="s">
        <v>310</v>
      </c>
    </row>
    <row r="100" spans="1:1">
      <c r="A100" s="66"/>
    </row>
    <row r="101" spans="1:1">
      <c r="A101" s="66" t="s">
        <v>311</v>
      </c>
    </row>
    <row r="102" spans="1:1">
      <c r="A102" s="66"/>
    </row>
    <row r="103" spans="1:1">
      <c r="A103" s="66" t="s">
        <v>312</v>
      </c>
    </row>
    <row r="113" spans="1:3" ht="30.75">
      <c r="A113" s="57" t="s">
        <v>313</v>
      </c>
      <c r="B113" s="57"/>
      <c r="C113" s="57"/>
    </row>
    <row r="114" spans="1:3" ht="15.75" customHeight="1">
      <c r="B114" s="67" t="s">
        <v>325</v>
      </c>
    </row>
    <row r="115" spans="1:3">
      <c r="B115" s="66"/>
    </row>
    <row r="116" spans="1:3">
      <c r="B116" s="66" t="s">
        <v>326</v>
      </c>
    </row>
    <row r="117" spans="1:3">
      <c r="B117" s="66"/>
    </row>
    <row r="118" spans="1:3">
      <c r="B118" s="66" t="s">
        <v>327</v>
      </c>
    </row>
    <row r="119" spans="1:3">
      <c r="B119" s="66"/>
    </row>
    <row r="120" spans="1:3">
      <c r="B120" s="66" t="s">
        <v>328</v>
      </c>
    </row>
    <row r="121" spans="1:3">
      <c r="B121" s="66"/>
    </row>
    <row r="122" spans="1:3">
      <c r="B122" s="66" t="s">
        <v>329</v>
      </c>
    </row>
    <row r="123" spans="1:3">
      <c r="B123" s="66"/>
    </row>
    <row r="124" spans="1:3">
      <c r="B124" s="66" t="s">
        <v>330</v>
      </c>
    </row>
    <row r="125" spans="1:3">
      <c r="B125" s="66"/>
    </row>
    <row r="126" spans="1:3">
      <c r="B126" s="66" t="s">
        <v>331</v>
      </c>
    </row>
    <row r="127" spans="1:3">
      <c r="B127" s="66"/>
    </row>
    <row r="128" spans="1:3">
      <c r="B128" s="66" t="s">
        <v>332</v>
      </c>
    </row>
    <row r="129" spans="2:2">
      <c r="B129" s="66"/>
    </row>
    <row r="130" spans="2:2">
      <c r="B130" s="66" t="s">
        <v>333</v>
      </c>
    </row>
    <row r="131" spans="2:2">
      <c r="B131" s="66"/>
    </row>
    <row r="132" spans="2:2">
      <c r="B132" s="66" t="s">
        <v>334</v>
      </c>
    </row>
    <row r="133" spans="2:2">
      <c r="B133" s="66"/>
    </row>
    <row r="134" spans="2:2">
      <c r="B134" s="66" t="s">
        <v>335</v>
      </c>
    </row>
    <row r="136" spans="2:2" ht="15.75" customHeight="1">
      <c r="B136" s="67" t="s">
        <v>336</v>
      </c>
    </row>
    <row r="137" spans="2:2">
      <c r="B137" s="66"/>
    </row>
    <row r="138" spans="2:2">
      <c r="B138" s="66" t="s">
        <v>337</v>
      </c>
    </row>
    <row r="139" spans="2:2">
      <c r="B139" s="66"/>
    </row>
    <row r="140" spans="2:2">
      <c r="B140" s="66" t="s">
        <v>338</v>
      </c>
    </row>
    <row r="141" spans="2:2">
      <c r="B141" s="66"/>
    </row>
    <row r="142" spans="2:2">
      <c r="B142" s="66" t="s">
        <v>339</v>
      </c>
    </row>
    <row r="143" spans="2:2">
      <c r="B143" s="66"/>
    </row>
    <row r="144" spans="2:2">
      <c r="B144" s="66" t="s">
        <v>340</v>
      </c>
    </row>
    <row r="145" spans="2:2">
      <c r="B145" s="66"/>
    </row>
    <row r="146" spans="2:2">
      <c r="B146" s="66" t="s">
        <v>314</v>
      </c>
    </row>
    <row r="147" spans="2:2">
      <c r="B147" s="66"/>
    </row>
    <row r="148" spans="2:2">
      <c r="B148" s="66" t="s">
        <v>341</v>
      </c>
    </row>
    <row r="149" spans="2:2">
      <c r="B149" s="66"/>
    </row>
    <row r="150" spans="2:2">
      <c r="B150" s="66" t="s">
        <v>342</v>
      </c>
    </row>
  </sheetData>
  <mergeCells count="5">
    <mergeCell ref="A113:C113"/>
    <mergeCell ref="A1:C1"/>
    <mergeCell ref="A21:C21"/>
    <mergeCell ref="A24:A30"/>
    <mergeCell ref="C24:C30"/>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7F3CA3-9C44-44BF-A86F-D85E9BDCD700}">
  <dimension ref="A1:F16"/>
  <sheetViews>
    <sheetView workbookViewId="0">
      <selection activeCell="F1" sqref="F1:F1048576"/>
    </sheetView>
  </sheetViews>
  <sheetFormatPr defaultRowHeight="15"/>
  <cols>
    <col min="2" max="2" width="18.140625" customWidth="1"/>
    <col min="3" max="3" width="17.140625" customWidth="1"/>
    <col min="4" max="4" width="20.42578125" style="9" customWidth="1"/>
    <col min="5" max="5" width="9.140625" style="9"/>
    <col min="6" max="6" width="23.5703125" style="9" customWidth="1"/>
  </cols>
  <sheetData>
    <row r="1" spans="1:6" s="47" customFormat="1">
      <c r="A1" s="46" t="s">
        <v>16</v>
      </c>
      <c r="B1" s="46" t="s">
        <v>183</v>
      </c>
      <c r="C1" s="46" t="s">
        <v>184</v>
      </c>
      <c r="D1" s="46" t="s">
        <v>185</v>
      </c>
      <c r="E1" s="46" t="s">
        <v>186</v>
      </c>
      <c r="F1" s="46" t="s">
        <v>187</v>
      </c>
    </row>
    <row r="2" spans="1:6">
      <c r="A2" s="2">
        <v>1</v>
      </c>
      <c r="B2" s="2" t="s">
        <v>188</v>
      </c>
      <c r="C2" s="2" t="s">
        <v>189</v>
      </c>
      <c r="D2" s="48">
        <v>72000</v>
      </c>
      <c r="E2" s="40">
        <v>29</v>
      </c>
      <c r="F2" s="40">
        <v>5</v>
      </c>
    </row>
    <row r="3" spans="1:6">
      <c r="A3" s="2">
        <v>2</v>
      </c>
      <c r="B3" s="2" t="s">
        <v>190</v>
      </c>
      <c r="C3" s="2" t="s">
        <v>191</v>
      </c>
      <c r="D3" s="48">
        <v>65000</v>
      </c>
      <c r="E3" s="40">
        <v>31</v>
      </c>
      <c r="F3" s="40">
        <v>7</v>
      </c>
    </row>
    <row r="4" spans="1:6">
      <c r="A4" s="2">
        <v>3</v>
      </c>
      <c r="B4" s="2" t="s">
        <v>192</v>
      </c>
      <c r="C4" s="2" t="s">
        <v>193</v>
      </c>
      <c r="D4" s="48">
        <v>78000</v>
      </c>
      <c r="E4" s="40">
        <v>28</v>
      </c>
      <c r="F4" s="40">
        <v>4</v>
      </c>
    </row>
    <row r="5" spans="1:6">
      <c r="A5" s="2">
        <v>4</v>
      </c>
      <c r="B5" s="2" t="s">
        <v>194</v>
      </c>
      <c r="C5" s="2" t="s">
        <v>195</v>
      </c>
      <c r="D5" s="48">
        <v>60000</v>
      </c>
      <c r="E5" s="40">
        <v>35</v>
      </c>
      <c r="F5" s="40">
        <v>10</v>
      </c>
    </row>
    <row r="6" spans="1:6">
      <c r="A6" s="2">
        <v>5</v>
      </c>
      <c r="B6" s="2" t="s">
        <v>196</v>
      </c>
      <c r="C6" s="2" t="s">
        <v>189</v>
      </c>
      <c r="D6" s="48">
        <v>85000</v>
      </c>
      <c r="E6" s="40">
        <v>26</v>
      </c>
      <c r="F6" s="40">
        <v>3</v>
      </c>
    </row>
    <row r="7" spans="1:6">
      <c r="A7" s="2">
        <v>6</v>
      </c>
      <c r="B7" s="2" t="s">
        <v>197</v>
      </c>
      <c r="C7" s="2" t="s">
        <v>193</v>
      </c>
      <c r="D7" s="48">
        <v>55000</v>
      </c>
      <c r="E7" s="40">
        <v>32</v>
      </c>
      <c r="F7" s="40">
        <v>8</v>
      </c>
    </row>
    <row r="8" spans="1:6">
      <c r="A8" s="2">
        <v>7</v>
      </c>
      <c r="B8" s="2" t="s">
        <v>198</v>
      </c>
      <c r="C8" s="2" t="s">
        <v>191</v>
      </c>
      <c r="D8" s="48">
        <v>70000</v>
      </c>
      <c r="E8" s="40">
        <v>30</v>
      </c>
      <c r="F8" s="40">
        <v>6</v>
      </c>
    </row>
    <row r="9" spans="1:6">
      <c r="A9" s="2">
        <v>8</v>
      </c>
      <c r="B9" s="2" t="s">
        <v>199</v>
      </c>
      <c r="C9" s="2" t="s">
        <v>195</v>
      </c>
      <c r="D9" s="48">
        <v>68000</v>
      </c>
      <c r="E9" s="40">
        <v>33</v>
      </c>
      <c r="F9" s="40">
        <v>9</v>
      </c>
    </row>
    <row r="10" spans="1:6">
      <c r="A10" s="2">
        <v>9</v>
      </c>
      <c r="B10" s="2" t="s">
        <v>200</v>
      </c>
      <c r="C10" s="2" t="s">
        <v>189</v>
      </c>
      <c r="D10" s="48">
        <v>90000</v>
      </c>
      <c r="E10" s="40">
        <v>27</v>
      </c>
      <c r="F10" s="40">
        <v>2</v>
      </c>
    </row>
    <row r="11" spans="1:6">
      <c r="A11" s="2">
        <v>10</v>
      </c>
      <c r="B11" s="2" t="s">
        <v>201</v>
      </c>
      <c r="C11" s="2" t="s">
        <v>193</v>
      </c>
      <c r="D11" s="48">
        <v>74000</v>
      </c>
      <c r="E11" s="40">
        <v>34</v>
      </c>
      <c r="F11" s="40">
        <v>11</v>
      </c>
    </row>
    <row r="12" spans="1:6">
      <c r="A12" s="2">
        <v>11</v>
      </c>
    </row>
    <row r="13" spans="1:6">
      <c r="A13" s="2">
        <v>12</v>
      </c>
    </row>
    <row r="14" spans="1:6">
      <c r="A14" s="2">
        <v>13</v>
      </c>
    </row>
    <row r="15" spans="1:6">
      <c r="A15" s="2">
        <v>14</v>
      </c>
    </row>
    <row r="16" spans="1:6">
      <c r="A16" s="2">
        <v>15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4DFC2-1366-4845-830F-A8AF03BC09F7}">
  <dimension ref="A1:C158"/>
  <sheetViews>
    <sheetView tabSelected="1" workbookViewId="0">
      <selection activeCell="F41" sqref="F41"/>
    </sheetView>
  </sheetViews>
  <sheetFormatPr defaultRowHeight="15"/>
  <cols>
    <col min="1" max="1" width="22.5703125" customWidth="1"/>
    <col min="2" max="2" width="37.7109375" customWidth="1"/>
    <col min="3" max="3" width="34.42578125" customWidth="1"/>
  </cols>
  <sheetData>
    <row r="1" spans="1:3">
      <c r="A1" s="49" t="s">
        <v>202</v>
      </c>
      <c r="B1" s="49"/>
      <c r="C1" s="49"/>
    </row>
    <row r="2" spans="1:3">
      <c r="A2" s="49"/>
      <c r="B2" s="49"/>
      <c r="C2" s="49"/>
    </row>
    <row r="3" spans="1:3" ht="18.75">
      <c r="A3" s="50" t="s">
        <v>203</v>
      </c>
      <c r="B3" s="50" t="s">
        <v>124</v>
      </c>
      <c r="C3" s="50" t="s">
        <v>125</v>
      </c>
    </row>
    <row r="4" spans="1:3">
      <c r="A4" s="51" t="s">
        <v>204</v>
      </c>
      <c r="B4" s="52" t="s">
        <v>224</v>
      </c>
      <c r="C4" s="53" t="s">
        <v>205</v>
      </c>
    </row>
    <row r="5" spans="1:3">
      <c r="A5" s="51" t="s">
        <v>206</v>
      </c>
      <c r="B5" s="52" t="s">
        <v>225</v>
      </c>
      <c r="C5" s="53" t="s">
        <v>207</v>
      </c>
    </row>
    <row r="6" spans="1:3">
      <c r="A6" s="51" t="s">
        <v>208</v>
      </c>
      <c r="B6" s="52" t="s">
        <v>226</v>
      </c>
      <c r="C6" s="53" t="s">
        <v>209</v>
      </c>
    </row>
    <row r="7" spans="1:3">
      <c r="A7" s="51" t="s">
        <v>210</v>
      </c>
      <c r="B7" s="52" t="s">
        <v>227</v>
      </c>
      <c r="C7" s="53" t="s">
        <v>211</v>
      </c>
    </row>
    <row r="8" spans="1:3">
      <c r="A8" s="51" t="s">
        <v>212</v>
      </c>
      <c r="B8" s="52" t="s">
        <v>228</v>
      </c>
      <c r="C8" s="53" t="s">
        <v>213</v>
      </c>
    </row>
    <row r="9" spans="1:3" ht="30">
      <c r="A9" s="51" t="s">
        <v>214</v>
      </c>
      <c r="B9" s="52" t="s">
        <v>229</v>
      </c>
      <c r="C9" s="53" t="s">
        <v>215</v>
      </c>
    </row>
    <row r="10" spans="1:3">
      <c r="A10" s="51" t="s">
        <v>216</v>
      </c>
      <c r="B10" s="52" t="s">
        <v>230</v>
      </c>
      <c r="C10" s="53" t="s">
        <v>217</v>
      </c>
    </row>
    <row r="11" spans="1:3">
      <c r="A11" s="51" t="s">
        <v>218</v>
      </c>
      <c r="B11" s="52" t="s">
        <v>231</v>
      </c>
      <c r="C11" s="53" t="s">
        <v>219</v>
      </c>
    </row>
    <row r="12" spans="1:3">
      <c r="A12" s="51" t="s">
        <v>220</v>
      </c>
      <c r="B12" s="52" t="s">
        <v>232</v>
      </c>
      <c r="C12" s="53" t="s">
        <v>221</v>
      </c>
    </row>
    <row r="13" spans="1:3">
      <c r="A13" s="51" t="s">
        <v>222</v>
      </c>
      <c r="B13" s="52" t="s">
        <v>182</v>
      </c>
      <c r="C13" s="53" t="s">
        <v>223</v>
      </c>
    </row>
    <row r="18" spans="1:3">
      <c r="A18" s="49" t="s">
        <v>263</v>
      </c>
      <c r="B18" s="49"/>
      <c r="C18" s="49"/>
    </row>
    <row r="19" spans="1:3">
      <c r="A19" s="49"/>
      <c r="B19" s="49"/>
      <c r="C19" s="49"/>
    </row>
    <row r="20" spans="1:3" s="54" customFormat="1" ht="18.75">
      <c r="A20" s="50" t="s">
        <v>203</v>
      </c>
      <c r="B20" s="50" t="s">
        <v>124</v>
      </c>
      <c r="C20" s="50" t="s">
        <v>181</v>
      </c>
    </row>
    <row r="21" spans="1:3">
      <c r="A21" s="51" t="s">
        <v>233</v>
      </c>
      <c r="B21" s="52" t="s">
        <v>253</v>
      </c>
      <c r="C21" s="53" t="s">
        <v>234</v>
      </c>
    </row>
    <row r="22" spans="1:3">
      <c r="A22" s="51" t="s">
        <v>235</v>
      </c>
      <c r="B22" s="52" t="s">
        <v>254</v>
      </c>
      <c r="C22" s="53" t="s">
        <v>236</v>
      </c>
    </row>
    <row r="23" spans="1:3">
      <c r="A23" s="51" t="s">
        <v>237</v>
      </c>
      <c r="B23" s="52" t="s">
        <v>255</v>
      </c>
      <c r="C23" s="53" t="s">
        <v>238</v>
      </c>
    </row>
    <row r="24" spans="1:3" ht="28.5">
      <c r="A24" s="51" t="s">
        <v>239</v>
      </c>
      <c r="B24" s="52" t="s">
        <v>256</v>
      </c>
      <c r="C24" s="53" t="s">
        <v>240</v>
      </c>
    </row>
    <row r="25" spans="1:3">
      <c r="A25" s="51" t="s">
        <v>241</v>
      </c>
      <c r="B25" s="52" t="s">
        <v>257</v>
      </c>
      <c r="C25" s="53" t="s">
        <v>242</v>
      </c>
    </row>
    <row r="26" spans="1:3">
      <c r="A26" s="51" t="s">
        <v>243</v>
      </c>
      <c r="B26" s="52" t="s">
        <v>258</v>
      </c>
      <c r="C26" s="53" t="s">
        <v>244</v>
      </c>
    </row>
    <row r="27" spans="1:3" ht="28.5">
      <c r="A27" s="51" t="s">
        <v>245</v>
      </c>
      <c r="B27" s="52" t="s">
        <v>259</v>
      </c>
      <c r="C27" s="53" t="s">
        <v>246</v>
      </c>
    </row>
    <row r="28" spans="1:3" ht="28.5">
      <c r="A28" s="51" t="s">
        <v>247</v>
      </c>
      <c r="B28" s="52" t="s">
        <v>260</v>
      </c>
      <c r="C28" s="53" t="s">
        <v>248</v>
      </c>
    </row>
    <row r="29" spans="1:3" ht="30">
      <c r="A29" s="51" t="s">
        <v>249</v>
      </c>
      <c r="B29" s="52" t="s">
        <v>261</v>
      </c>
      <c r="C29" s="53" t="s">
        <v>250</v>
      </c>
    </row>
    <row r="30" spans="1:3" ht="28.5">
      <c r="A30" s="51" t="s">
        <v>251</v>
      </c>
      <c r="B30" s="52" t="s">
        <v>262</v>
      </c>
      <c r="C30" s="53" t="s">
        <v>252</v>
      </c>
    </row>
    <row r="38" spans="1:3">
      <c r="A38" s="55" t="s">
        <v>264</v>
      </c>
      <c r="B38" s="56"/>
      <c r="C38" s="56"/>
    </row>
    <row r="39" spans="1:3">
      <c r="A39" s="56"/>
      <c r="B39" s="56"/>
      <c r="C39" s="56"/>
    </row>
    <row r="40" spans="1:3">
      <c r="A40" s="56"/>
      <c r="B40" s="56"/>
      <c r="C40" s="56"/>
    </row>
    <row r="41" spans="1:3">
      <c r="A41" s="56"/>
      <c r="B41" s="56"/>
      <c r="C41" s="56"/>
    </row>
    <row r="42" spans="1:3">
      <c r="A42" s="56"/>
      <c r="B42" s="56"/>
      <c r="C42" s="56"/>
    </row>
    <row r="43" spans="1:3">
      <c r="A43" s="56"/>
      <c r="B43" s="56"/>
      <c r="C43" s="56"/>
    </row>
    <row r="44" spans="1:3">
      <c r="A44" s="56"/>
      <c r="B44" s="56"/>
      <c r="C44" s="56"/>
    </row>
    <row r="45" spans="1:3">
      <c r="A45" s="56"/>
      <c r="B45" s="56"/>
      <c r="C45" s="56"/>
    </row>
    <row r="46" spans="1:3">
      <c r="A46" s="56"/>
      <c r="B46" s="56"/>
      <c r="C46" s="56"/>
    </row>
    <row r="47" spans="1:3">
      <c r="A47" s="56"/>
      <c r="B47" s="56"/>
      <c r="C47" s="56"/>
    </row>
    <row r="48" spans="1:3">
      <c r="A48" s="56"/>
      <c r="B48" s="56"/>
      <c r="C48" s="56"/>
    </row>
    <row r="49" spans="1:3">
      <c r="A49" s="56"/>
      <c r="B49" s="56"/>
      <c r="C49" s="56"/>
    </row>
    <row r="50" spans="1:3">
      <c r="A50" s="56"/>
      <c r="B50" s="56"/>
      <c r="C50" s="56"/>
    </row>
    <row r="51" spans="1:3">
      <c r="A51" s="56"/>
      <c r="B51" s="56"/>
      <c r="C51" s="56"/>
    </row>
    <row r="52" spans="1:3">
      <c r="A52" s="56"/>
      <c r="B52" s="56"/>
      <c r="C52" s="56"/>
    </row>
    <row r="53" spans="1:3">
      <c r="A53" s="56"/>
      <c r="B53" s="56"/>
      <c r="C53" s="56"/>
    </row>
    <row r="54" spans="1:3">
      <c r="A54" s="56"/>
      <c r="B54" s="56"/>
      <c r="C54" s="56"/>
    </row>
    <row r="55" spans="1:3">
      <c r="A55" s="56"/>
      <c r="B55" s="56"/>
      <c r="C55" s="56"/>
    </row>
    <row r="56" spans="1:3">
      <c r="A56" s="56"/>
      <c r="B56" s="56"/>
      <c r="C56" s="56"/>
    </row>
    <row r="57" spans="1:3">
      <c r="A57" s="56"/>
      <c r="B57" s="56"/>
      <c r="C57" s="56"/>
    </row>
    <row r="58" spans="1:3">
      <c r="A58" s="56"/>
      <c r="B58" s="56"/>
      <c r="C58" s="56"/>
    </row>
    <row r="59" spans="1:3">
      <c r="A59" s="56"/>
      <c r="B59" s="56"/>
      <c r="C59" s="56"/>
    </row>
    <row r="60" spans="1:3">
      <c r="A60" s="56"/>
      <c r="B60" s="56"/>
      <c r="C60" s="56"/>
    </row>
    <row r="61" spans="1:3">
      <c r="A61" s="56"/>
      <c r="B61" s="56"/>
      <c r="C61" s="56"/>
    </row>
    <row r="62" spans="1:3">
      <c r="A62" s="56"/>
      <c r="B62" s="56"/>
      <c r="C62" s="56"/>
    </row>
    <row r="63" spans="1:3">
      <c r="A63" s="56"/>
      <c r="B63" s="56"/>
      <c r="C63" s="56"/>
    </row>
    <row r="64" spans="1:3">
      <c r="A64" s="56"/>
      <c r="B64" s="56"/>
      <c r="C64" s="56"/>
    </row>
    <row r="65" spans="1:3">
      <c r="A65" s="56"/>
      <c r="B65" s="56"/>
      <c r="C65" s="56"/>
    </row>
    <row r="66" spans="1:3">
      <c r="A66" s="56"/>
      <c r="B66" s="56"/>
      <c r="C66" s="56"/>
    </row>
    <row r="67" spans="1:3">
      <c r="A67" s="56"/>
      <c r="B67" s="56"/>
      <c r="C67" s="56"/>
    </row>
    <row r="68" spans="1:3">
      <c r="A68" s="56"/>
      <c r="B68" s="56"/>
      <c r="C68" s="56"/>
    </row>
    <row r="69" spans="1:3">
      <c r="A69" s="56"/>
      <c r="B69" s="56"/>
      <c r="C69" s="56"/>
    </row>
    <row r="70" spans="1:3">
      <c r="A70" s="56"/>
      <c r="B70" s="56"/>
      <c r="C70" s="56"/>
    </row>
    <row r="71" spans="1:3">
      <c r="A71" s="56"/>
      <c r="B71" s="56"/>
      <c r="C71" s="56"/>
    </row>
    <row r="72" spans="1:3">
      <c r="A72" s="56"/>
      <c r="B72" s="56"/>
      <c r="C72" s="56"/>
    </row>
    <row r="73" spans="1:3">
      <c r="A73" s="56"/>
      <c r="B73" s="56"/>
      <c r="C73" s="56"/>
    </row>
    <row r="74" spans="1:3">
      <c r="A74" s="56"/>
      <c r="B74" s="56"/>
      <c r="C74" s="56"/>
    </row>
    <row r="75" spans="1:3">
      <c r="A75" s="56"/>
      <c r="B75" s="56"/>
      <c r="C75" s="56"/>
    </row>
    <row r="76" spans="1:3">
      <c r="A76" s="56"/>
      <c r="B76" s="56"/>
      <c r="C76" s="56"/>
    </row>
    <row r="77" spans="1:3">
      <c r="A77" s="56"/>
      <c r="B77" s="56"/>
      <c r="C77" s="56"/>
    </row>
    <row r="78" spans="1:3">
      <c r="A78" s="56"/>
      <c r="B78" s="56"/>
      <c r="C78" s="56"/>
    </row>
    <row r="79" spans="1:3">
      <c r="A79" s="56"/>
      <c r="B79" s="56"/>
      <c r="C79" s="56"/>
    </row>
    <row r="80" spans="1:3">
      <c r="A80" s="56"/>
      <c r="B80" s="56"/>
      <c r="C80" s="56"/>
    </row>
    <row r="81" spans="1:3">
      <c r="A81" s="56"/>
      <c r="B81" s="56"/>
      <c r="C81" s="56"/>
    </row>
    <row r="82" spans="1:3">
      <c r="A82" s="56"/>
      <c r="B82" s="56"/>
      <c r="C82" s="56"/>
    </row>
    <row r="83" spans="1:3">
      <c r="A83" s="56"/>
      <c r="B83" s="56"/>
      <c r="C83" s="56"/>
    </row>
    <row r="84" spans="1:3">
      <c r="A84" s="56"/>
      <c r="B84" s="56"/>
      <c r="C84" s="56"/>
    </row>
    <row r="85" spans="1:3">
      <c r="A85" s="56"/>
      <c r="B85" s="56"/>
      <c r="C85" s="56"/>
    </row>
    <row r="86" spans="1:3">
      <c r="A86" s="56"/>
      <c r="B86" s="56"/>
      <c r="C86" s="56"/>
    </row>
    <row r="87" spans="1:3">
      <c r="A87" s="56"/>
      <c r="B87" s="56"/>
      <c r="C87" s="56"/>
    </row>
    <row r="88" spans="1:3">
      <c r="A88" s="56"/>
      <c r="B88" s="56"/>
      <c r="C88" s="56"/>
    </row>
    <row r="89" spans="1:3">
      <c r="A89" s="56"/>
      <c r="B89" s="56"/>
      <c r="C89" s="56"/>
    </row>
    <row r="90" spans="1:3">
      <c r="A90" s="56"/>
      <c r="B90" s="56"/>
      <c r="C90" s="56"/>
    </row>
    <row r="91" spans="1:3">
      <c r="A91" s="56"/>
      <c r="B91" s="56"/>
      <c r="C91" s="56"/>
    </row>
    <row r="92" spans="1:3">
      <c r="A92" s="56"/>
      <c r="B92" s="56"/>
      <c r="C92" s="56"/>
    </row>
    <row r="93" spans="1:3">
      <c r="A93" s="56"/>
      <c r="B93" s="56"/>
      <c r="C93" s="56"/>
    </row>
    <row r="94" spans="1:3">
      <c r="A94" s="56"/>
      <c r="B94" s="56"/>
      <c r="C94" s="56"/>
    </row>
    <row r="95" spans="1:3">
      <c r="A95" s="56"/>
      <c r="B95" s="56"/>
      <c r="C95" s="56"/>
    </row>
    <row r="96" spans="1:3">
      <c r="A96" s="56"/>
      <c r="B96" s="56"/>
      <c r="C96" s="56"/>
    </row>
    <row r="97" spans="1:3">
      <c r="A97" s="56"/>
      <c r="B97" s="56"/>
      <c r="C97" s="56"/>
    </row>
    <row r="98" spans="1:3">
      <c r="A98" s="56"/>
      <c r="B98" s="56"/>
      <c r="C98" s="56"/>
    </row>
    <row r="99" spans="1:3">
      <c r="A99" s="56"/>
      <c r="B99" s="56"/>
      <c r="C99" s="56"/>
    </row>
    <row r="100" spans="1:3">
      <c r="A100" s="56"/>
      <c r="B100" s="56"/>
      <c r="C100" s="56"/>
    </row>
    <row r="101" spans="1:3">
      <c r="A101" s="56"/>
      <c r="B101" s="56"/>
      <c r="C101" s="56"/>
    </row>
    <row r="102" spans="1:3">
      <c r="A102" s="56"/>
      <c r="B102" s="56"/>
      <c r="C102" s="56"/>
    </row>
    <row r="103" spans="1:3">
      <c r="A103" s="56"/>
      <c r="B103" s="56"/>
      <c r="C103" s="56"/>
    </row>
    <row r="104" spans="1:3">
      <c r="A104" s="56"/>
      <c r="B104" s="56"/>
      <c r="C104" s="56"/>
    </row>
    <row r="105" spans="1:3">
      <c r="A105" s="56"/>
      <c r="B105" s="56"/>
      <c r="C105" s="56"/>
    </row>
    <row r="106" spans="1:3">
      <c r="A106" s="56"/>
      <c r="B106" s="56"/>
      <c r="C106" s="56"/>
    </row>
    <row r="107" spans="1:3">
      <c r="A107" s="56"/>
      <c r="B107" s="56"/>
      <c r="C107" s="56"/>
    </row>
    <row r="108" spans="1:3">
      <c r="A108" s="56"/>
      <c r="B108" s="56"/>
      <c r="C108" s="56"/>
    </row>
    <row r="109" spans="1:3">
      <c r="A109" s="56"/>
      <c r="B109" s="56"/>
      <c r="C109" s="56"/>
    </row>
    <row r="110" spans="1:3">
      <c r="A110" s="56"/>
      <c r="B110" s="56"/>
      <c r="C110" s="56"/>
    </row>
    <row r="111" spans="1:3">
      <c r="A111" s="56"/>
      <c r="B111" s="56"/>
      <c r="C111" s="56"/>
    </row>
    <row r="112" spans="1:3">
      <c r="A112" s="56"/>
      <c r="B112" s="56"/>
      <c r="C112" s="56"/>
    </row>
    <row r="113" spans="1:3">
      <c r="A113" s="56"/>
      <c r="B113" s="56"/>
      <c r="C113" s="56"/>
    </row>
    <row r="114" spans="1:3">
      <c r="A114" s="56"/>
      <c r="B114" s="56"/>
      <c r="C114" s="56"/>
    </row>
    <row r="115" spans="1:3">
      <c r="A115" s="56"/>
      <c r="B115" s="56"/>
      <c r="C115" s="56"/>
    </row>
    <row r="116" spans="1:3">
      <c r="A116" s="56"/>
      <c r="B116" s="56"/>
      <c r="C116" s="56"/>
    </row>
    <row r="117" spans="1:3">
      <c r="A117" s="56"/>
      <c r="B117" s="56"/>
      <c r="C117" s="56"/>
    </row>
    <row r="118" spans="1:3">
      <c r="A118" s="56"/>
      <c r="B118" s="56"/>
      <c r="C118" s="56"/>
    </row>
    <row r="119" spans="1:3">
      <c r="A119" s="56"/>
      <c r="B119" s="56"/>
      <c r="C119" s="56"/>
    </row>
    <row r="120" spans="1:3">
      <c r="A120" s="56"/>
      <c r="B120" s="56"/>
      <c r="C120" s="56"/>
    </row>
    <row r="121" spans="1:3">
      <c r="A121" s="56"/>
      <c r="B121" s="56"/>
      <c r="C121" s="56"/>
    </row>
    <row r="122" spans="1:3">
      <c r="A122" s="56"/>
      <c r="B122" s="56"/>
      <c r="C122" s="56"/>
    </row>
    <row r="123" spans="1:3">
      <c r="A123" s="56"/>
      <c r="B123" s="56"/>
      <c r="C123" s="56"/>
    </row>
    <row r="124" spans="1:3">
      <c r="A124" s="56"/>
      <c r="B124" s="56"/>
      <c r="C124" s="56"/>
    </row>
    <row r="125" spans="1:3">
      <c r="A125" s="56"/>
      <c r="B125" s="56"/>
      <c r="C125" s="56"/>
    </row>
    <row r="126" spans="1:3">
      <c r="A126" s="56"/>
      <c r="B126" s="56"/>
      <c r="C126" s="56"/>
    </row>
    <row r="127" spans="1:3">
      <c r="A127" s="56"/>
      <c r="B127" s="56"/>
      <c r="C127" s="56"/>
    </row>
    <row r="128" spans="1:3">
      <c r="A128" s="56"/>
      <c r="B128" s="56"/>
      <c r="C128" s="56"/>
    </row>
    <row r="129" spans="1:3">
      <c r="A129" s="56"/>
      <c r="B129" s="56"/>
      <c r="C129" s="56"/>
    </row>
    <row r="130" spans="1:3">
      <c r="A130" s="56"/>
      <c r="B130" s="56"/>
      <c r="C130" s="56"/>
    </row>
    <row r="131" spans="1:3">
      <c r="A131" s="56"/>
      <c r="B131" s="56"/>
      <c r="C131" s="56"/>
    </row>
    <row r="132" spans="1:3">
      <c r="A132" s="56"/>
      <c r="B132" s="56"/>
      <c r="C132" s="56"/>
    </row>
    <row r="133" spans="1:3">
      <c r="A133" s="56"/>
      <c r="B133" s="56"/>
      <c r="C133" s="56"/>
    </row>
    <row r="134" spans="1:3">
      <c r="A134" s="56"/>
      <c r="B134" s="56"/>
      <c r="C134" s="56"/>
    </row>
    <row r="135" spans="1:3">
      <c r="A135" s="56"/>
      <c r="B135" s="56"/>
      <c r="C135" s="56"/>
    </row>
    <row r="136" spans="1:3">
      <c r="A136" s="56"/>
      <c r="B136" s="56"/>
      <c r="C136" s="56"/>
    </row>
    <row r="137" spans="1:3">
      <c r="A137" s="56"/>
      <c r="B137" s="56"/>
      <c r="C137" s="56"/>
    </row>
    <row r="138" spans="1:3">
      <c r="A138" s="56"/>
      <c r="B138" s="56"/>
      <c r="C138" s="56"/>
    </row>
    <row r="139" spans="1:3">
      <c r="A139" s="56"/>
      <c r="B139" s="56"/>
      <c r="C139" s="56"/>
    </row>
    <row r="140" spans="1:3">
      <c r="A140" s="56"/>
      <c r="B140" s="56"/>
      <c r="C140" s="56"/>
    </row>
    <row r="141" spans="1:3">
      <c r="A141" s="56"/>
      <c r="B141" s="56"/>
      <c r="C141" s="56"/>
    </row>
    <row r="142" spans="1:3">
      <c r="A142" s="56"/>
      <c r="B142" s="56"/>
      <c r="C142" s="56"/>
    </row>
    <row r="143" spans="1:3">
      <c r="A143" s="56"/>
      <c r="B143" s="56"/>
      <c r="C143" s="56"/>
    </row>
    <row r="144" spans="1:3">
      <c r="A144" s="56"/>
      <c r="B144" s="56"/>
      <c r="C144" s="56"/>
    </row>
    <row r="145" spans="1:3">
      <c r="A145" s="56"/>
      <c r="B145" s="56"/>
      <c r="C145" s="56"/>
    </row>
    <row r="146" spans="1:3">
      <c r="A146" s="56"/>
      <c r="B146" s="56"/>
      <c r="C146" s="56"/>
    </row>
    <row r="147" spans="1:3">
      <c r="A147" s="56"/>
      <c r="B147" s="56"/>
      <c r="C147" s="56"/>
    </row>
    <row r="148" spans="1:3">
      <c r="A148" s="56"/>
      <c r="B148" s="56"/>
      <c r="C148" s="56"/>
    </row>
    <row r="149" spans="1:3">
      <c r="A149" s="56"/>
      <c r="B149" s="56"/>
      <c r="C149" s="56"/>
    </row>
    <row r="150" spans="1:3">
      <c r="A150" s="56"/>
      <c r="B150" s="56"/>
      <c r="C150" s="56"/>
    </row>
    <row r="151" spans="1:3">
      <c r="A151" s="56"/>
      <c r="B151" s="56"/>
      <c r="C151" s="56"/>
    </row>
    <row r="152" spans="1:3">
      <c r="A152" s="56"/>
      <c r="B152" s="56"/>
      <c r="C152" s="56"/>
    </row>
    <row r="153" spans="1:3">
      <c r="A153" s="56"/>
      <c r="B153" s="56"/>
      <c r="C153" s="56"/>
    </row>
    <row r="154" spans="1:3">
      <c r="A154" s="56"/>
      <c r="B154" s="56"/>
      <c r="C154" s="56"/>
    </row>
    <row r="155" spans="1:3">
      <c r="A155" s="56"/>
      <c r="B155" s="56"/>
      <c r="C155" s="56"/>
    </row>
    <row r="156" spans="1:3">
      <c r="A156" s="56"/>
      <c r="B156" s="56"/>
      <c r="C156" s="56"/>
    </row>
    <row r="157" spans="1:3">
      <c r="A157" s="56"/>
      <c r="B157" s="56"/>
      <c r="C157" s="56"/>
    </row>
    <row r="158" spans="1:3">
      <c r="A158" s="56"/>
      <c r="B158" s="56"/>
      <c r="C158" s="56"/>
    </row>
  </sheetData>
  <mergeCells count="3">
    <mergeCell ref="A1:C2"/>
    <mergeCell ref="A18:C19"/>
    <mergeCell ref="A38:C15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Lab 1</vt:lpstr>
      <vt:lpstr>Lab 1 Questions</vt:lpstr>
      <vt:lpstr>Lab 2 Annapurna</vt:lpstr>
      <vt:lpstr>Lab 2 questuions</vt:lpstr>
      <vt:lpstr>Lab 3</vt:lpstr>
      <vt:lpstr>Lab 3 Questions</vt:lpstr>
      <vt:lpstr>Lab 4 Stat</vt:lpstr>
      <vt:lpstr>Lab 4 Questions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Sanjeev Thapa</dc:creator>
  <cp:lastModifiedBy>Sanjeev Thapa</cp:lastModifiedBy>
  <dcterms:created xsi:type="dcterms:W3CDTF">2025-11-01T23:51:31Z</dcterms:created>
  <dcterms:modified xsi:type="dcterms:W3CDTF">2025-11-11T00:07:27Z</dcterms:modified>
</cp:coreProperties>
</file>