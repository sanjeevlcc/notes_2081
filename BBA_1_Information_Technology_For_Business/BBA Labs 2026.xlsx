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HD\Downloads\"/>
    </mc:Choice>
  </mc:AlternateContent>
  <xr:revisionPtr revIDLastSave="0" documentId="13_ncr:1_{B0A3EB34-578E-4139-A26E-F68BB429422D}" xr6:coauthVersionLast="47" xr6:coauthVersionMax="47" xr10:uidLastSave="{00000000-0000-0000-0000-000000000000}"/>
  <bookViews>
    <workbookView xWindow="-15" yWindow="300" windowWidth="18825" windowHeight="9600" activeTab="1" xr2:uid="{624DD40B-21C6-402B-82E0-2585288EBD5B}"/>
  </bookViews>
  <sheets>
    <sheet name="Lab 1" sheetId="1" r:id="rId1"/>
    <sheet name="Lab 1 Questions" sheetId="3" r:id="rId2"/>
    <sheet name="Lab 2 Annapurn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C58" i="3"/>
  <c r="K9" i="1"/>
  <c r="K10" i="1"/>
  <c r="K11" i="1"/>
  <c r="K12" i="1"/>
  <c r="K13" i="1"/>
  <c r="K14" i="1"/>
  <c r="K15" i="1"/>
  <c r="K16" i="1"/>
  <c r="K17" i="1"/>
  <c r="J9" i="1"/>
  <c r="J10" i="1"/>
  <c r="J11" i="1"/>
  <c r="J12" i="1"/>
  <c r="J13" i="1"/>
  <c r="J14" i="1"/>
  <c r="J15" i="1"/>
  <c r="J16" i="1"/>
  <c r="J17" i="1"/>
  <c r="J18" i="1"/>
  <c r="K18" i="1" s="1"/>
  <c r="J8" i="1"/>
  <c r="K8" i="1" s="1"/>
  <c r="I12" i="1"/>
  <c r="I16" i="1"/>
  <c r="H9" i="1"/>
  <c r="I9" i="1" s="1"/>
  <c r="H10" i="1"/>
  <c r="I10" i="1" s="1"/>
  <c r="H11" i="1"/>
  <c r="I11" i="1" s="1"/>
  <c r="H12" i="1"/>
  <c r="H13" i="1"/>
  <c r="I13" i="1" s="1"/>
  <c r="H14" i="1"/>
  <c r="I14" i="1" s="1"/>
  <c r="H15" i="1"/>
  <c r="I15" i="1" s="1"/>
  <c r="H16" i="1"/>
  <c r="H17" i="1"/>
  <c r="I17" i="1" s="1"/>
  <c r="H18" i="1"/>
  <c r="I18" i="1" s="1"/>
  <c r="H8" i="1"/>
  <c r="I8" i="1" s="1"/>
</calcChain>
</file>

<file path=xl/sharedStrings.xml><?xml version="1.0" encoding="utf-8"?>
<sst xmlns="http://schemas.openxmlformats.org/spreadsheetml/2006/main" count="105" uniqueCount="99">
  <si>
    <t>A</t>
  </si>
  <si>
    <t>B</t>
  </si>
  <si>
    <t>C</t>
  </si>
  <si>
    <t>D</t>
  </si>
  <si>
    <t>E</t>
  </si>
  <si>
    <t>F</t>
  </si>
  <si>
    <t>Name</t>
  </si>
  <si>
    <t>Maths</t>
  </si>
  <si>
    <t>Nepali</t>
  </si>
  <si>
    <t>English</t>
  </si>
  <si>
    <t>Computer</t>
  </si>
  <si>
    <t>Economics</t>
  </si>
  <si>
    <t>Total</t>
  </si>
  <si>
    <t>Percentage</t>
  </si>
  <si>
    <t>Result</t>
  </si>
  <si>
    <t>Division</t>
  </si>
  <si>
    <t>Sno</t>
  </si>
  <si>
    <t>Ram</t>
  </si>
  <si>
    <t>SUM(B2:F2)</t>
  </si>
  <si>
    <t>total * 100 / 500</t>
  </si>
  <si>
    <t>IF(AND(B2&gt;=40,C2&gt;=40,D2&gt;=40,E2&gt;=40,F2&gt;=40),"Pass","Fail"</t>
  </si>
  <si>
    <t>IF(I2="Fail","Fail",
   IF(H2&gt;=80,"Distinction",
   IF(H2&gt;=60,"First",
   IF(H2&gt;=45,"Second",
   IF(H2&gt;=35,"Third","Fail")))))</t>
  </si>
  <si>
    <t>Xyz Eng Boarding School</t>
  </si>
  <si>
    <t>Sita</t>
  </si>
  <si>
    <t>Hari</t>
  </si>
  <si>
    <t>Muna Kc</t>
  </si>
  <si>
    <t>Rajan Thapa</t>
  </si>
  <si>
    <t>Gagan Thapa</t>
  </si>
  <si>
    <t>Sovit Aryal</t>
  </si>
  <si>
    <t>Nishant Bhattrai</t>
  </si>
  <si>
    <r>
      <rPr>
        <b/>
        <sz val="11"/>
        <color rgb="FFFF0000"/>
        <rFont val="Aptos Narrow"/>
        <family val="2"/>
        <scheme val="minor"/>
      </rPr>
      <t>Task 1 — Compute Totals &amp; Percentages (with rounding)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a) Do:</t>
    </r>
    <r>
      <rPr>
        <sz val="11"/>
        <color theme="1"/>
        <rFont val="Aptos Narrow"/>
        <family val="2"/>
        <scheme val="minor"/>
      </rPr>
      <t xml:space="preserve">
Compute Total and Percentage for each row and copy down.
Round percentage to 1 decimal.
</t>
    </r>
    <r>
      <rPr>
        <sz val="11"/>
        <color rgb="FFFF0000"/>
        <rFont val="Aptos Narrow"/>
        <family val="2"/>
        <scheme val="minor"/>
      </rPr>
      <t>b) Formulas (Answer key):</t>
    </r>
    <r>
      <rPr>
        <sz val="11"/>
        <color theme="1"/>
        <rFont val="Aptos Narrow"/>
        <family val="2"/>
        <scheme val="minor"/>
      </rPr>
      <t xml:space="preserve">
H8 (Total):
=SUM(C8:G8)
I8 (Percentage, 1 decimal):
=ROUND(H8/5,1)</t>
    </r>
  </si>
  <si>
    <t>🧩 Do (Student Instructions):</t>
  </si>
  <si>
    <t>L: Grade Letter</t>
  </si>
  <si>
    <t>M: GPA (out of 4)</t>
  </si>
  <si>
    <t>🧠 Grade and GPA Mapping Table</t>
  </si>
  <si>
    <t>Percentage Range</t>
  </si>
  <si>
    <t>Grade</t>
  </si>
  <si>
    <t>GPA</t>
  </si>
  <si>
    <t>≥ 90</t>
  </si>
  <si>
    <t>A+</t>
  </si>
  <si>
    <t>80–89</t>
  </si>
  <si>
    <t>70–79</t>
  </si>
  <si>
    <t>A-</t>
  </si>
  <si>
    <t>60–69</t>
  </si>
  <si>
    <t>B+</t>
  </si>
  <si>
    <t>50–59</t>
  </si>
  <si>
    <t>40–49</t>
  </si>
  <si>
    <t>&lt; 40</t>
  </si>
  <si>
    <t>✅ Answer Key (Formula Setup)</t>
  </si>
  <si>
    <t>(1) Grade Letter</t>
  </si>
  <si>
    <t xml:space="preserve">   IF(I8&gt;=80,"A",</t>
  </si>
  <si>
    <t xml:space="preserve">   IF(I8&gt;=70,"A-",</t>
  </si>
  <si>
    <t xml:space="preserve">   IF(I8&gt;=60,"B+",</t>
  </si>
  <si>
    <t xml:space="preserve">   IF(I8&gt;=50,"B",</t>
  </si>
  <si>
    <t xml:space="preserve">   IF(I8&gt;=40,"C","D"))))))</t>
  </si>
  <si>
    <t>(2) GPA (out of 4)</t>
  </si>
  <si>
    <t xml:space="preserve">   IF(I8&gt;=80,3.7,</t>
  </si>
  <si>
    <t xml:space="preserve">   IF(I8&gt;=70,3.3,</t>
  </si>
  <si>
    <t xml:space="preserve">   IF(I8&gt;=60,3.0,</t>
  </si>
  <si>
    <t xml:space="preserve">   IF(I8&gt;=50,2.7,</t>
  </si>
  <si>
    <t xml:space="preserve">   IF(I8&gt;=40,2.0,1.0))))))</t>
  </si>
  <si>
    <t>(3) Average GPA (optional summary cell)</t>
  </si>
  <si>
    <t>At bottom of column M (e.g., M20):</t>
  </si>
  <si>
    <t>AVERAGE(M8:M18)</t>
  </si>
  <si>
    <r>
      <t xml:space="preserve">1. Add </t>
    </r>
    <r>
      <rPr>
        <b/>
        <sz val="11"/>
        <color rgb="FF002060"/>
        <rFont val="Aptos Narrow"/>
        <family val="2"/>
        <scheme val="minor"/>
      </rPr>
      <t>two new columns</t>
    </r>
    <r>
      <rPr>
        <sz val="11"/>
        <color rgb="FF002060"/>
        <rFont val="Aptos Narrow"/>
        <family val="2"/>
        <scheme val="minor"/>
      </rPr>
      <t xml:space="preserve"> after “Division”:</t>
    </r>
  </si>
  <si>
    <r>
      <t xml:space="preserve">2. Use logical formulas to assign </t>
    </r>
    <r>
      <rPr>
        <b/>
        <sz val="11"/>
        <color rgb="FF002060"/>
        <rFont val="Aptos Narrow"/>
        <family val="2"/>
        <scheme val="minor"/>
      </rPr>
      <t>grade letters and GPA values</t>
    </r>
    <r>
      <rPr>
        <sz val="11"/>
        <color rgb="FF002060"/>
        <rFont val="Aptos Narrow"/>
        <family val="2"/>
        <scheme val="minor"/>
      </rPr>
      <t xml:space="preserve"> based on </t>
    </r>
    <r>
      <rPr>
        <b/>
        <sz val="11"/>
        <color rgb="FF002060"/>
        <rFont val="Aptos Narrow"/>
        <family val="2"/>
        <scheme val="minor"/>
      </rPr>
      <t>percentage</t>
    </r>
    <r>
      <rPr>
        <sz val="11"/>
        <color rgb="FF002060"/>
        <rFont val="Aptos Narrow"/>
        <family val="2"/>
        <scheme val="minor"/>
      </rPr>
      <t>.</t>
    </r>
  </si>
  <si>
    <r>
      <t xml:space="preserve">3. Verify that the </t>
    </r>
    <r>
      <rPr>
        <b/>
        <sz val="11"/>
        <color rgb="FF002060"/>
        <rFont val="Aptos Narrow"/>
        <family val="2"/>
        <scheme val="minor"/>
      </rPr>
      <t>average GPA</t>
    </r>
    <r>
      <rPr>
        <sz val="11"/>
        <color rgb="FF002060"/>
        <rFont val="Aptos Narrow"/>
        <family val="2"/>
        <scheme val="minor"/>
      </rPr>
      <t xml:space="preserve"> of all students is correct.</t>
    </r>
  </si>
  <si>
    <r>
      <t xml:space="preserve">In </t>
    </r>
    <r>
      <rPr>
        <b/>
        <sz val="11"/>
        <color rgb="FF002060"/>
        <rFont val="Aptos Narrow"/>
        <family val="2"/>
        <scheme val="minor"/>
      </rPr>
      <t>L8</t>
    </r>
    <r>
      <rPr>
        <sz val="11"/>
        <color rgb="FF002060"/>
        <rFont val="Aptos Narrow"/>
        <family val="2"/>
        <scheme val="minor"/>
      </rPr>
      <t>:</t>
    </r>
  </si>
  <si>
    <r>
      <t xml:space="preserve">In </t>
    </r>
    <r>
      <rPr>
        <b/>
        <sz val="11"/>
        <color rgb="FF002060"/>
        <rFont val="Aptos Narrow"/>
        <family val="2"/>
        <scheme val="minor"/>
      </rPr>
      <t>M8</t>
    </r>
    <r>
      <rPr>
        <sz val="11"/>
        <color rgb="FF002060"/>
        <rFont val="Aptos Narrow"/>
        <family val="2"/>
        <scheme val="minor"/>
      </rPr>
      <t>:</t>
    </r>
  </si>
  <si>
    <t>Task 2 – GPA Calculation (4.0 Scale)</t>
  </si>
  <si>
    <t>🧮 Challenge Extension for Students — GPA Highlights and Topper</t>
  </si>
  <si>
    <t>🎨 1. Conditional Formatting for GPA</t>
  </si>
  <si>
    <t>Objective:</t>
  </si>
  <si>
    <t>Highlight high and low GPAs visually:</t>
  </si>
  <si>
    <t>Steps:</t>
  </si>
  <si>
    <t>🏆 2. Text Box: “Student of the Month”</t>
  </si>
  <si>
    <t>Show the name of the top GPA scorer dynamically using a formula.</t>
  </si>
  <si>
    <t>Formula to find topper name:</t>
  </si>
  <si>
    <t>2. Type:</t>
  </si>
  <si>
    <t>🎖️ Student of the Month: Sita</t>
  </si>
  <si>
    <t>4. Optional:</t>
  </si>
  <si>
    <t>Copy this cell.</t>
  </si>
  <si>
    <t>Format it with a gold border and bold text.</t>
  </si>
  <si>
    <r>
      <t>Green fill</t>
    </r>
    <r>
      <rPr>
        <sz val="11"/>
        <color rgb="FF7030A0"/>
        <rFont val="Aptos Narrow"/>
        <family val="2"/>
        <scheme val="minor"/>
      </rPr>
      <t xml:space="preserve"> for GPA ≥ </t>
    </r>
    <r>
      <rPr>
        <b/>
        <sz val="11"/>
        <color rgb="FF7030A0"/>
        <rFont val="Aptos Narrow"/>
        <family val="2"/>
        <scheme val="minor"/>
      </rPr>
      <t>3.7</t>
    </r>
    <r>
      <rPr>
        <sz val="11"/>
        <color rgb="FF7030A0"/>
        <rFont val="Aptos Narrow"/>
        <family val="2"/>
        <scheme val="minor"/>
      </rPr>
      <t xml:space="preserve"> (Distinction)</t>
    </r>
  </si>
  <si>
    <r>
      <t>Red fill</t>
    </r>
    <r>
      <rPr>
        <sz val="11"/>
        <color rgb="FF7030A0"/>
        <rFont val="Aptos Narrow"/>
        <family val="2"/>
        <scheme val="minor"/>
      </rPr>
      <t xml:space="preserve"> for GPA &lt; </t>
    </r>
    <r>
      <rPr>
        <b/>
        <sz val="11"/>
        <color rgb="FF7030A0"/>
        <rFont val="Aptos Narrow"/>
        <family val="2"/>
        <scheme val="minor"/>
      </rPr>
      <t>2.0</t>
    </r>
    <r>
      <rPr>
        <sz val="11"/>
        <color rgb="FF7030A0"/>
        <rFont val="Aptos Narrow"/>
        <family val="2"/>
        <scheme val="minor"/>
      </rPr>
      <t xml:space="preserve"> (At Risk)</t>
    </r>
  </si>
  <si>
    <r>
      <t xml:space="preserve">1. Select the GPA column (e.g., </t>
    </r>
    <r>
      <rPr>
        <sz val="10"/>
        <color rgb="FF7030A0"/>
        <rFont val="Arial Unicode MS"/>
      </rPr>
      <t>L2:L31</t>
    </r>
    <r>
      <rPr>
        <sz val="11"/>
        <color rgb="FF7030A0"/>
        <rFont val="Aptos Narrow"/>
        <family val="2"/>
        <scheme val="minor"/>
      </rPr>
      <t>).</t>
    </r>
  </si>
  <si>
    <r>
      <t xml:space="preserve">2. Go to </t>
    </r>
    <r>
      <rPr>
        <b/>
        <sz val="11"/>
        <color rgb="FF7030A0"/>
        <rFont val="Aptos Narrow"/>
        <family val="2"/>
        <scheme val="minor"/>
      </rPr>
      <t>Home → Conditional Formatting → New Rule → Use a formula</t>
    </r>
    <r>
      <rPr>
        <sz val="11"/>
        <color rgb="FF7030A0"/>
        <rFont val="Aptos Narrow"/>
        <family val="2"/>
        <scheme val="minor"/>
      </rPr>
      <t>.</t>
    </r>
  </si>
  <si>
    <r>
      <t xml:space="preserve">3. Add the first formula for </t>
    </r>
    <r>
      <rPr>
        <i/>
        <sz val="11"/>
        <color rgb="FF7030A0"/>
        <rFont val="Aptos Narrow"/>
        <family val="2"/>
        <scheme val="minor"/>
      </rPr>
      <t>Distinction</t>
    </r>
    <r>
      <rPr>
        <sz val="11"/>
        <color rgb="FF7030A0"/>
        <rFont val="Aptos Narrow"/>
        <family val="2"/>
        <scheme val="minor"/>
      </rPr>
      <t>:</t>
    </r>
  </si>
  <si>
    <r>
      <t xml:space="preserve">Choose a </t>
    </r>
    <r>
      <rPr>
        <b/>
        <sz val="11"/>
        <color rgb="FF7030A0"/>
        <rFont val="Aptos Narrow"/>
        <family val="2"/>
        <scheme val="minor"/>
      </rPr>
      <t>green fill</t>
    </r>
    <r>
      <rPr>
        <sz val="11"/>
        <color rgb="FF7030A0"/>
        <rFont val="Aptos Narrow"/>
        <family val="2"/>
        <scheme val="minor"/>
      </rPr>
      <t>.</t>
    </r>
  </si>
  <si>
    <r>
      <t xml:space="preserve">4. Add another rule for </t>
    </r>
    <r>
      <rPr>
        <i/>
        <sz val="11"/>
        <color rgb="FF7030A0"/>
        <rFont val="Aptos Narrow"/>
        <family val="2"/>
        <scheme val="minor"/>
      </rPr>
      <t>At Risk</t>
    </r>
    <r>
      <rPr>
        <sz val="11"/>
        <color rgb="FF7030A0"/>
        <rFont val="Aptos Narrow"/>
        <family val="2"/>
        <scheme val="minor"/>
      </rPr>
      <t>:</t>
    </r>
  </si>
  <si>
    <r>
      <t xml:space="preserve">Choose a </t>
    </r>
    <r>
      <rPr>
        <b/>
        <sz val="11"/>
        <color rgb="FF7030A0"/>
        <rFont val="Aptos Narrow"/>
        <family val="2"/>
        <scheme val="minor"/>
      </rPr>
      <t>light red fill</t>
    </r>
    <r>
      <rPr>
        <sz val="11"/>
        <color rgb="FF7030A0"/>
        <rFont val="Aptos Narrow"/>
        <family val="2"/>
        <scheme val="minor"/>
      </rPr>
      <t>.</t>
    </r>
  </si>
  <si>
    <r>
      <t xml:space="preserve">5. Click </t>
    </r>
    <r>
      <rPr>
        <b/>
        <sz val="11"/>
        <color rgb="FF7030A0"/>
        <rFont val="Aptos Narrow"/>
        <family val="2"/>
        <scheme val="minor"/>
      </rPr>
      <t>OK</t>
    </r>
    <r>
      <rPr>
        <sz val="11"/>
        <color rgb="FF7030A0"/>
        <rFont val="Aptos Narrow"/>
        <family val="2"/>
        <scheme val="minor"/>
      </rPr>
      <t xml:space="preserve"> — now students can instantly see top and weak performers!</t>
    </r>
  </si>
  <si>
    <r>
      <t xml:space="preserve">1. Select any empty cell (say </t>
    </r>
    <r>
      <rPr>
        <sz val="10"/>
        <color rgb="FF7030A0"/>
        <rFont val="Arial Unicode MS"/>
      </rPr>
      <t>N3</t>
    </r>
    <r>
      <rPr>
        <sz val="11"/>
        <color rgb="FF7030A0"/>
        <rFont val="Aptos Narrow"/>
        <family val="2"/>
        <scheme val="minor"/>
      </rPr>
      <t>).</t>
    </r>
  </si>
  <si>
    <r>
      <t xml:space="preserve">3. Press </t>
    </r>
    <r>
      <rPr>
        <b/>
        <sz val="11"/>
        <color rgb="FF7030A0"/>
        <rFont val="Aptos Narrow"/>
        <family val="2"/>
        <scheme val="minor"/>
      </rPr>
      <t>Enter</t>
    </r>
    <r>
      <rPr>
        <sz val="11"/>
        <color rgb="FF7030A0"/>
        <rFont val="Aptos Narrow"/>
        <family val="2"/>
        <scheme val="minor"/>
      </rPr>
      <t xml:space="preserve"> — it will show something like:</t>
    </r>
  </si>
  <si>
    <r>
      <t xml:space="preserve">Go to </t>
    </r>
    <r>
      <rPr>
        <b/>
        <sz val="11"/>
        <color rgb="FF7030A0"/>
        <rFont val="Aptos Narrow"/>
        <family val="2"/>
        <scheme val="minor"/>
      </rPr>
      <t>Insert → Text Box → Paste Formula into Formula Bar</t>
    </r>
    <r>
      <rPr>
        <sz val="11"/>
        <color rgb="FF7030A0"/>
        <rFont val="Aptos Narrow"/>
        <family val="2"/>
        <scheme val="minor"/>
      </rPr>
      <t>.</t>
    </r>
  </si>
  <si>
    <t>L2&gt;=3.7</t>
  </si>
  <si>
    <t>L2&lt;2</t>
  </si>
  <si>
    <t>INDEX(A2:A31, MATCH(MAX(L2:L31), L2:L31, 0))</t>
  </si>
  <si>
    <t>"🎖️ Student of the Month: "&amp;INDEX(A2:A31, MATCH(MAX(L2:L31), L2:L31, 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</si>
</sst>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3.5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0"/>
      <color rgb="FF002060"/>
      <name val="Arial Unicode MS"/>
    </font>
    <font>
      <b/>
      <sz val="18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3.5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0"/>
      <color rgb="FF7030A0"/>
      <name val="Arial Unicode MS"/>
    </font>
    <font>
      <i/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5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4ED3-6069-4EA8-8EDB-7E99023F76B5}">
  <dimension ref="A3:K22"/>
  <sheetViews>
    <sheetView topLeftCell="B11" workbookViewId="0">
      <selection activeCell="D26" sqref="D26"/>
    </sheetView>
  </sheetViews>
  <sheetFormatPr defaultRowHeight="15"/>
  <cols>
    <col min="2" max="2" width="19.28515625" style="13" customWidth="1"/>
    <col min="5" max="5" width="16.5703125" customWidth="1"/>
    <col min="6" max="6" width="13" customWidth="1"/>
    <col min="7" max="7" width="14.85546875" customWidth="1"/>
    <col min="8" max="8" width="18" customWidth="1"/>
    <col min="9" max="9" width="15.140625" customWidth="1"/>
    <col min="10" max="10" width="30.5703125" style="9" customWidth="1"/>
    <col min="11" max="11" width="32" customWidth="1"/>
  </cols>
  <sheetData>
    <row r="3" spans="1:11" s="8" customFormat="1" ht="75">
      <c r="B3" s="14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18</v>
      </c>
      <c r="I3" s="1" t="s">
        <v>19</v>
      </c>
      <c r="J3" s="1" t="s">
        <v>20</v>
      </c>
      <c r="K3" s="7" t="s">
        <v>21</v>
      </c>
    </row>
    <row r="4" spans="1:11" s="8" customFormat="1">
      <c r="B4" s="14"/>
      <c r="C4" s="1"/>
      <c r="D4" s="1"/>
      <c r="E4" s="1"/>
      <c r="F4" s="1"/>
      <c r="G4" s="1"/>
      <c r="H4" s="1"/>
      <c r="I4" s="1"/>
      <c r="J4" s="1"/>
      <c r="K4" s="7"/>
    </row>
    <row r="5" spans="1:11" s="8" customFormat="1">
      <c r="B5" s="14"/>
      <c r="C5" s="1"/>
      <c r="D5" s="1"/>
      <c r="E5" s="1"/>
      <c r="F5" s="1"/>
      <c r="G5" s="1"/>
      <c r="H5" s="1"/>
      <c r="I5" s="1"/>
      <c r="J5" s="1"/>
      <c r="K5" s="7"/>
    </row>
    <row r="6" spans="1:11" s="8" customFormat="1" ht="21">
      <c r="B6" s="12" t="s">
        <v>22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s="3" customFormat="1" ht="18.75">
      <c r="A7" s="4" t="s">
        <v>16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6" t="s">
        <v>12</v>
      </c>
      <c r="I7" s="6" t="s">
        <v>13</v>
      </c>
      <c r="J7" s="6" t="s">
        <v>14</v>
      </c>
      <c r="K7" s="6" t="s">
        <v>15</v>
      </c>
    </row>
    <row r="8" spans="1:11" s="10" customFormat="1">
      <c r="A8" s="10">
        <v>1</v>
      </c>
      <c r="B8" s="15" t="s">
        <v>25</v>
      </c>
      <c r="C8" s="10">
        <v>55</v>
      </c>
      <c r="D8" s="10">
        <v>65</v>
      </c>
      <c r="E8" s="10">
        <v>44</v>
      </c>
      <c r="F8" s="10">
        <v>55</v>
      </c>
      <c r="G8" s="10">
        <v>33</v>
      </c>
      <c r="H8" s="10">
        <f>SUM(C8:G8)</f>
        <v>252</v>
      </c>
      <c r="I8" s="10">
        <f>H8/5</f>
        <v>50.4</v>
      </c>
      <c r="J8" s="11" t="str">
        <f>IF(AND(C8&gt;=40,D8&gt;=40,E8&gt;=40,F8&gt;=40,G8&gt;=40),"Pass","Fail")</f>
        <v>Fail</v>
      </c>
      <c r="K8" s="2" t="str">
        <f>IF(J8="Fail","Fail",
   IF(I8&gt;=80,"Distinction",
   IF(I8&gt;=60,"First",
   IF(I8&gt;=45,"Second",
   IF(I8&gt;=35,"Third","Fail")))))</f>
        <v>Fail</v>
      </c>
    </row>
    <row r="9" spans="1:11">
      <c r="A9">
        <v>2</v>
      </c>
      <c r="B9" s="13" t="s">
        <v>26</v>
      </c>
      <c r="C9">
        <v>88</v>
      </c>
      <c r="D9">
        <v>88</v>
      </c>
      <c r="E9">
        <v>88</v>
      </c>
      <c r="F9">
        <v>88</v>
      </c>
      <c r="G9">
        <v>88</v>
      </c>
      <c r="H9" s="10">
        <f t="shared" ref="H9:H18" si="0">SUM(C9:G9)</f>
        <v>440</v>
      </c>
      <c r="I9" s="10">
        <f t="shared" ref="I9:I18" si="1">H9/5</f>
        <v>88</v>
      </c>
      <c r="J9" s="11" t="str">
        <f t="shared" ref="J9:J18" si="2">IF(AND(C9&gt;=40,D9&gt;=40,E9&gt;=40,F9&gt;=40,G9&gt;=40),"Pass","Fail")</f>
        <v>Pass</v>
      </c>
      <c r="K9" s="2" t="str">
        <f t="shared" ref="K9:K18" si="3">IF(J9="Fail","Fail",
   IF(I9&gt;=80,"Distinction",
   IF(I9&gt;=60,"First",
   IF(I9&gt;=45,"Second",
   IF(I9&gt;=35,"Third","Fail")))))</f>
        <v>Distinction</v>
      </c>
    </row>
    <row r="10" spans="1:11">
      <c r="A10" s="10">
        <v>3</v>
      </c>
      <c r="B10" s="13" t="s">
        <v>27</v>
      </c>
      <c r="C10">
        <v>78</v>
      </c>
      <c r="D10">
        <v>49</v>
      </c>
      <c r="E10">
        <v>88</v>
      </c>
      <c r="F10">
        <v>75</v>
      </c>
      <c r="G10">
        <v>62</v>
      </c>
      <c r="H10" s="10">
        <f t="shared" si="0"/>
        <v>352</v>
      </c>
      <c r="I10" s="10">
        <f t="shared" si="1"/>
        <v>70.400000000000006</v>
      </c>
      <c r="J10" s="11" t="str">
        <f t="shared" si="2"/>
        <v>Pass</v>
      </c>
      <c r="K10" s="2" t="str">
        <f t="shared" si="3"/>
        <v>First</v>
      </c>
    </row>
    <row r="11" spans="1:11" s="17" customFormat="1">
      <c r="A11">
        <v>4</v>
      </c>
      <c r="B11" s="18" t="s">
        <v>28</v>
      </c>
      <c r="C11" s="18">
        <v>41</v>
      </c>
      <c r="D11" s="18">
        <v>38</v>
      </c>
      <c r="E11" s="18">
        <v>37</v>
      </c>
      <c r="F11" s="18">
        <v>51</v>
      </c>
      <c r="G11" s="18">
        <v>42</v>
      </c>
      <c r="H11" s="10">
        <f t="shared" si="0"/>
        <v>209</v>
      </c>
      <c r="I11" s="10">
        <f t="shared" si="1"/>
        <v>41.8</v>
      </c>
      <c r="J11" s="11" t="str">
        <f t="shared" si="2"/>
        <v>Fail</v>
      </c>
      <c r="K11" s="2" t="str">
        <f t="shared" si="3"/>
        <v>Fail</v>
      </c>
    </row>
    <row r="12" spans="1:11">
      <c r="A12" s="10">
        <v>5</v>
      </c>
      <c r="B12" s="16" t="s">
        <v>17</v>
      </c>
      <c r="C12" s="2">
        <v>78</v>
      </c>
      <c r="D12" s="2">
        <v>65</v>
      </c>
      <c r="E12" s="2">
        <v>70</v>
      </c>
      <c r="F12" s="2">
        <v>80</v>
      </c>
      <c r="G12" s="2">
        <v>60</v>
      </c>
      <c r="H12" s="10">
        <f t="shared" si="0"/>
        <v>353</v>
      </c>
      <c r="I12" s="10">
        <f t="shared" si="1"/>
        <v>70.599999999999994</v>
      </c>
      <c r="J12" s="11" t="str">
        <f t="shared" si="2"/>
        <v>Pass</v>
      </c>
      <c r="K12" s="2" t="str">
        <f t="shared" si="3"/>
        <v>First</v>
      </c>
    </row>
    <row r="13" spans="1:11">
      <c r="A13">
        <v>6</v>
      </c>
      <c r="B13" s="16" t="s">
        <v>23</v>
      </c>
      <c r="C13" s="2">
        <v>85</v>
      </c>
      <c r="D13" s="2">
        <v>82</v>
      </c>
      <c r="E13" s="2">
        <v>90</v>
      </c>
      <c r="F13" s="2">
        <v>88</v>
      </c>
      <c r="G13" s="2">
        <v>84</v>
      </c>
      <c r="H13" s="10">
        <f t="shared" si="0"/>
        <v>429</v>
      </c>
      <c r="I13" s="10">
        <f t="shared" si="1"/>
        <v>85.8</v>
      </c>
      <c r="J13" s="11" t="str">
        <f t="shared" si="2"/>
        <v>Pass</v>
      </c>
      <c r="K13" s="2" t="str">
        <f t="shared" si="3"/>
        <v>Distinction</v>
      </c>
    </row>
    <row r="14" spans="1:11">
      <c r="A14" s="10">
        <v>7</v>
      </c>
      <c r="B14" s="16" t="s">
        <v>24</v>
      </c>
      <c r="C14" s="2">
        <v>40</v>
      </c>
      <c r="D14" s="2">
        <v>35</v>
      </c>
      <c r="E14" s="2">
        <v>55</v>
      </c>
      <c r="F14" s="2">
        <v>48</v>
      </c>
      <c r="G14" s="2">
        <v>60</v>
      </c>
      <c r="H14" s="10">
        <f t="shared" si="0"/>
        <v>238</v>
      </c>
      <c r="I14" s="10">
        <f t="shared" si="1"/>
        <v>47.6</v>
      </c>
      <c r="J14" s="11" t="str">
        <f t="shared" si="2"/>
        <v>Fail</v>
      </c>
      <c r="K14" s="2" t="str">
        <f t="shared" si="3"/>
        <v>Fail</v>
      </c>
    </row>
    <row r="15" spans="1:11">
      <c r="A15">
        <v>8</v>
      </c>
      <c r="H15" s="10">
        <f t="shared" si="0"/>
        <v>0</v>
      </c>
      <c r="I15" s="10">
        <f t="shared" si="1"/>
        <v>0</v>
      </c>
      <c r="J15" s="11" t="str">
        <f t="shared" si="2"/>
        <v>Fail</v>
      </c>
      <c r="K15" s="2" t="str">
        <f t="shared" si="3"/>
        <v>Fail</v>
      </c>
    </row>
    <row r="16" spans="1:11">
      <c r="A16" s="10">
        <v>9</v>
      </c>
      <c r="H16" s="10">
        <f t="shared" si="0"/>
        <v>0</v>
      </c>
      <c r="I16" s="10">
        <f t="shared" si="1"/>
        <v>0</v>
      </c>
      <c r="J16" s="11" t="str">
        <f t="shared" si="2"/>
        <v>Fail</v>
      </c>
      <c r="K16" s="2" t="str">
        <f t="shared" si="3"/>
        <v>Fail</v>
      </c>
    </row>
    <row r="17" spans="1:11">
      <c r="A17">
        <v>10</v>
      </c>
      <c r="H17" s="10">
        <f t="shared" si="0"/>
        <v>0</v>
      </c>
      <c r="I17" s="10">
        <f t="shared" si="1"/>
        <v>0</v>
      </c>
      <c r="J17" s="11" t="str">
        <f t="shared" si="2"/>
        <v>Fail</v>
      </c>
      <c r="K17" s="2" t="str">
        <f t="shared" si="3"/>
        <v>Fail</v>
      </c>
    </row>
    <row r="18" spans="1:11">
      <c r="A18" s="10">
        <v>11</v>
      </c>
      <c r="B18" s="13" t="s">
        <v>29</v>
      </c>
      <c r="C18">
        <v>55</v>
      </c>
      <c r="D18">
        <v>65</v>
      </c>
      <c r="E18">
        <v>78</v>
      </c>
      <c r="F18">
        <v>78</v>
      </c>
      <c r="G18">
        <v>48</v>
      </c>
      <c r="H18" s="10">
        <f t="shared" si="0"/>
        <v>324</v>
      </c>
      <c r="I18" s="10">
        <f t="shared" si="1"/>
        <v>64.8</v>
      </c>
      <c r="J18" s="11" t="str">
        <f t="shared" si="2"/>
        <v>Pass</v>
      </c>
      <c r="K18" s="2" t="str">
        <f t="shared" si="3"/>
        <v>First</v>
      </c>
    </row>
    <row r="19" spans="1:11">
      <c r="A19">
        <v>12</v>
      </c>
    </row>
    <row r="20" spans="1:11">
      <c r="A20" s="10">
        <v>13</v>
      </c>
    </row>
    <row r="21" spans="1:11">
      <c r="A21">
        <v>14</v>
      </c>
    </row>
    <row r="22" spans="1:11">
      <c r="A22" s="10">
        <v>15</v>
      </c>
    </row>
  </sheetData>
  <mergeCells count="1">
    <mergeCell ref="B6:K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ECDC-1CAA-478C-B7A4-579260A48068}">
  <dimension ref="C3:E142"/>
  <sheetViews>
    <sheetView tabSelected="1" topLeftCell="A74" workbookViewId="0">
      <selection activeCell="C128" sqref="C128"/>
    </sheetView>
  </sheetViews>
  <sheetFormatPr defaultRowHeight="15"/>
  <cols>
    <col min="3" max="3" width="107.42578125" customWidth="1"/>
  </cols>
  <sheetData>
    <row r="3" spans="3:3" ht="270">
      <c r="C3" s="8" t="s">
        <v>30</v>
      </c>
    </row>
    <row r="11" spans="3:3" ht="24">
      <c r="C11" s="19" t="s">
        <v>69</v>
      </c>
    </row>
    <row r="12" spans="3:3">
      <c r="C12" s="20"/>
    </row>
    <row r="13" spans="3:3" ht="18">
      <c r="C13" s="21" t="s">
        <v>31</v>
      </c>
    </row>
    <row r="14" spans="3:3">
      <c r="C14" s="22"/>
    </row>
    <row r="15" spans="3:3">
      <c r="C15" s="22" t="s">
        <v>64</v>
      </c>
    </row>
    <row r="16" spans="3:3">
      <c r="C16" s="22"/>
    </row>
    <row r="17" spans="3:5">
      <c r="C17" s="22"/>
    </row>
    <row r="18" spans="3:5">
      <c r="C18" s="23"/>
    </row>
    <row r="19" spans="3:5">
      <c r="C19" s="24" t="s">
        <v>32</v>
      </c>
    </row>
    <row r="20" spans="3:5">
      <c r="C20" s="23"/>
    </row>
    <row r="21" spans="3:5">
      <c r="C21" s="24" t="s">
        <v>33</v>
      </c>
    </row>
    <row r="22" spans="3:5">
      <c r="C22" s="22"/>
    </row>
    <row r="23" spans="3:5">
      <c r="C23" s="22" t="s">
        <v>65</v>
      </c>
    </row>
    <row r="24" spans="3:5">
      <c r="C24" s="22"/>
    </row>
    <row r="25" spans="3:5">
      <c r="C25" s="22" t="s">
        <v>66</v>
      </c>
    </row>
    <row r="26" spans="3:5">
      <c r="C26" s="20"/>
    </row>
    <row r="27" spans="3:5">
      <c r="C27" s="20"/>
    </row>
    <row r="28" spans="3:5">
      <c r="C28" s="20"/>
    </row>
    <row r="29" spans="3:5" ht="18">
      <c r="C29" s="21" t="s">
        <v>34</v>
      </c>
    </row>
    <row r="30" spans="3:5">
      <c r="C30" s="20"/>
    </row>
    <row r="31" spans="3:5">
      <c r="C31" s="25" t="s">
        <v>35</v>
      </c>
      <c r="D31" s="1" t="s">
        <v>36</v>
      </c>
      <c r="E31" s="1" t="s">
        <v>37</v>
      </c>
    </row>
    <row r="32" spans="3:5">
      <c r="C32" s="26" t="s">
        <v>38</v>
      </c>
      <c r="D32" s="2" t="s">
        <v>39</v>
      </c>
      <c r="E32" s="2">
        <v>4</v>
      </c>
    </row>
    <row r="33" spans="3:5">
      <c r="C33" s="26" t="s">
        <v>40</v>
      </c>
      <c r="D33" s="2" t="s">
        <v>0</v>
      </c>
      <c r="E33" s="2">
        <v>3.7</v>
      </c>
    </row>
    <row r="34" spans="3:5">
      <c r="C34" s="26" t="s">
        <v>41</v>
      </c>
      <c r="D34" s="2" t="s">
        <v>42</v>
      </c>
      <c r="E34" s="2">
        <v>3.3</v>
      </c>
    </row>
    <row r="35" spans="3:5">
      <c r="C35" s="26" t="s">
        <v>43</v>
      </c>
      <c r="D35" s="2" t="s">
        <v>44</v>
      </c>
      <c r="E35" s="2">
        <v>3</v>
      </c>
    </row>
    <row r="36" spans="3:5">
      <c r="C36" s="26" t="s">
        <v>45</v>
      </c>
      <c r="D36" s="2" t="s">
        <v>1</v>
      </c>
      <c r="E36" s="2">
        <v>2.7</v>
      </c>
    </row>
    <row r="37" spans="3:5">
      <c r="C37" s="26" t="s">
        <v>46</v>
      </c>
      <c r="D37" s="2" t="s">
        <v>2</v>
      </c>
      <c r="E37" s="2">
        <v>2</v>
      </c>
    </row>
    <row r="38" spans="3:5">
      <c r="C38" s="26" t="s">
        <v>47</v>
      </c>
      <c r="D38" s="2" t="s">
        <v>3</v>
      </c>
      <c r="E38" s="2">
        <v>1</v>
      </c>
    </row>
    <row r="39" spans="3:5">
      <c r="C39" s="20"/>
    </row>
    <row r="40" spans="3:5">
      <c r="C40" s="20"/>
    </row>
    <row r="41" spans="3:5" ht="18">
      <c r="C41" s="21" t="s">
        <v>48</v>
      </c>
    </row>
    <row r="42" spans="3:5">
      <c r="C42" s="20"/>
    </row>
    <row r="43" spans="3:5" ht="15.75">
      <c r="C43" s="27" t="s">
        <v>49</v>
      </c>
    </row>
    <row r="44" spans="3:5">
      <c r="C44" s="20"/>
    </row>
    <row r="45" spans="3:5">
      <c r="C45" s="20" t="s">
        <v>67</v>
      </c>
    </row>
    <row r="46" spans="3:5">
      <c r="C46" s="28"/>
    </row>
    <row r="47" spans="3:5">
      <c r="C47" s="29">
        <f>IF(I8&gt;=90,"A+",)</f>
        <v>0</v>
      </c>
    </row>
    <row r="48" spans="3:5">
      <c r="C48" s="29" t="s">
        <v>50</v>
      </c>
    </row>
    <row r="49" spans="3:3">
      <c r="C49" s="29" t="s">
        <v>51</v>
      </c>
    </row>
    <row r="50" spans="3:3">
      <c r="C50" s="29" t="s">
        <v>52</v>
      </c>
    </row>
    <row r="51" spans="3:3">
      <c r="C51" s="29" t="s">
        <v>53</v>
      </c>
    </row>
    <row r="52" spans="3:3">
      <c r="C52" s="29" t="s">
        <v>54</v>
      </c>
    </row>
    <row r="53" spans="3:3">
      <c r="C53" s="20"/>
    </row>
    <row r="54" spans="3:3" ht="15.75">
      <c r="C54" s="27" t="s">
        <v>55</v>
      </c>
    </row>
    <row r="55" spans="3:3">
      <c r="C55" s="20"/>
    </row>
    <row r="56" spans="3:3">
      <c r="C56" s="20" t="s">
        <v>68</v>
      </c>
    </row>
    <row r="57" spans="3:3">
      <c r="C57" s="28"/>
    </row>
    <row r="58" spans="3:3">
      <c r="C58" s="29">
        <f>IF(I8&gt;=90,4,)</f>
        <v>0</v>
      </c>
    </row>
    <row r="59" spans="3:3">
      <c r="C59" s="29" t="s">
        <v>56</v>
      </c>
    </row>
    <row r="60" spans="3:3">
      <c r="C60" s="29" t="s">
        <v>57</v>
      </c>
    </row>
    <row r="61" spans="3:3">
      <c r="C61" s="29" t="s">
        <v>58</v>
      </c>
    </row>
    <row r="62" spans="3:3">
      <c r="C62" s="29" t="s">
        <v>59</v>
      </c>
    </row>
    <row r="63" spans="3:3">
      <c r="C63" s="29" t="s">
        <v>60</v>
      </c>
    </row>
    <row r="64" spans="3:3">
      <c r="C64" s="20"/>
    </row>
    <row r="65" spans="3:3" ht="15.75">
      <c r="C65" s="27" t="s">
        <v>61</v>
      </c>
    </row>
    <row r="66" spans="3:3">
      <c r="C66" s="20"/>
    </row>
    <row r="67" spans="3:3">
      <c r="C67" s="20" t="s">
        <v>62</v>
      </c>
    </row>
    <row r="68" spans="3:3">
      <c r="C68" s="28"/>
    </row>
    <row r="69" spans="3:3">
      <c r="C69" s="29" t="s">
        <v>63</v>
      </c>
    </row>
    <row r="70" spans="3:3">
      <c r="C70" s="20"/>
    </row>
    <row r="80" spans="3:3" ht="24">
      <c r="C80" s="30" t="s">
        <v>70</v>
      </c>
    </row>
    <row r="81" spans="3:3">
      <c r="C81" s="31"/>
    </row>
    <row r="82" spans="3:3" ht="18">
      <c r="C82" s="32" t="s">
        <v>71</v>
      </c>
    </row>
    <row r="83" spans="3:3">
      <c r="C83" s="31"/>
    </row>
    <row r="84" spans="3:3">
      <c r="C84" s="33" t="s">
        <v>72</v>
      </c>
    </row>
    <row r="85" spans="3:3">
      <c r="C85" s="31" t="s">
        <v>73</v>
      </c>
    </row>
    <row r="86" spans="3:3">
      <c r="C86" s="34"/>
    </row>
    <row r="87" spans="3:3">
      <c r="C87" s="35" t="s">
        <v>83</v>
      </c>
    </row>
    <row r="88" spans="3:3">
      <c r="C88" s="34"/>
    </row>
    <row r="89" spans="3:3">
      <c r="C89" s="35" t="s">
        <v>84</v>
      </c>
    </row>
    <row r="90" spans="3:3">
      <c r="C90" s="31"/>
    </row>
    <row r="91" spans="3:3">
      <c r="C91" s="33" t="s">
        <v>74</v>
      </c>
    </row>
    <row r="92" spans="3:3">
      <c r="C92" s="34"/>
    </row>
    <row r="93" spans="3:3">
      <c r="C93" s="34" t="s">
        <v>85</v>
      </c>
    </row>
    <row r="94" spans="3:3">
      <c r="C94" s="34"/>
    </row>
    <row r="95" spans="3:3">
      <c r="C95" s="34" t="s">
        <v>86</v>
      </c>
    </row>
    <row r="96" spans="3:3">
      <c r="C96" s="34"/>
    </row>
    <row r="97" spans="3:3">
      <c r="C97" s="34" t="s">
        <v>87</v>
      </c>
    </row>
    <row r="98" spans="3:3">
      <c r="C98" s="36"/>
    </row>
    <row r="99" spans="3:3">
      <c r="C99" s="37" t="s">
        <v>95</v>
      </c>
    </row>
    <row r="100" spans="3:3">
      <c r="C100" s="34"/>
    </row>
    <row r="101" spans="3:3">
      <c r="C101" s="34" t="s">
        <v>88</v>
      </c>
    </row>
    <row r="102" spans="3:3">
      <c r="C102" s="34"/>
    </row>
    <row r="103" spans="3:3">
      <c r="C103" s="34" t="s">
        <v>89</v>
      </c>
    </row>
    <row r="104" spans="3:3">
      <c r="C104" s="36"/>
    </row>
    <row r="105" spans="3:3">
      <c r="C105" s="37" t="s">
        <v>96</v>
      </c>
    </row>
    <row r="106" spans="3:3">
      <c r="C106" s="34"/>
    </row>
    <row r="107" spans="3:3">
      <c r="C107" s="34" t="s">
        <v>90</v>
      </c>
    </row>
    <row r="108" spans="3:3">
      <c r="C108" s="34"/>
    </row>
    <row r="109" spans="3:3">
      <c r="C109" s="34" t="s">
        <v>91</v>
      </c>
    </row>
    <row r="110" spans="3:3">
      <c r="C110" s="31"/>
    </row>
    <row r="111" spans="3:3">
      <c r="C111" s="31"/>
    </row>
    <row r="112" spans="3:3">
      <c r="C112" s="31"/>
    </row>
    <row r="113" spans="3:3" ht="18">
      <c r="C113" s="32" t="s">
        <v>75</v>
      </c>
    </row>
    <row r="114" spans="3:3">
      <c r="C114" s="31"/>
    </row>
    <row r="115" spans="3:3">
      <c r="C115" s="33" t="s">
        <v>72</v>
      </c>
    </row>
    <row r="116" spans="3:3">
      <c r="C116" s="31" t="s">
        <v>76</v>
      </c>
    </row>
    <row r="117" spans="3:3">
      <c r="C117" s="31"/>
    </row>
    <row r="118" spans="3:3">
      <c r="C118" s="33" t="s">
        <v>77</v>
      </c>
    </row>
    <row r="119" spans="3:3">
      <c r="C119" s="36"/>
    </row>
    <row r="120" spans="3:3">
      <c r="C120" s="37" t="s">
        <v>97</v>
      </c>
    </row>
    <row r="121" spans="3:3">
      <c r="C121" s="31"/>
    </row>
    <row r="122" spans="3:3">
      <c r="C122" s="33" t="s">
        <v>74</v>
      </c>
    </row>
    <row r="123" spans="3:3">
      <c r="C123" s="34"/>
    </row>
    <row r="124" spans="3:3">
      <c r="C124" s="34" t="s">
        <v>92</v>
      </c>
    </row>
    <row r="125" spans="3:3">
      <c r="C125" s="34"/>
    </row>
    <row r="126" spans="3:3">
      <c r="C126" s="34" t="s">
        <v>78</v>
      </c>
    </row>
    <row r="127" spans="3:3">
      <c r="C127" s="36"/>
    </row>
    <row r="128" spans="3:3">
      <c r="C128" s="37" t="s">
        <v>98</v>
      </c>
    </row>
    <row r="129" spans="3:3">
      <c r="C129" s="34"/>
    </row>
    <row r="130" spans="3:3">
      <c r="C130" s="34" t="s">
        <v>93</v>
      </c>
    </row>
    <row r="131" spans="3:3">
      <c r="C131" s="36"/>
    </row>
    <row r="132" spans="3:3">
      <c r="C132" s="37" t="s">
        <v>79</v>
      </c>
    </row>
    <row r="133" spans="3:3">
      <c r="C133" s="34"/>
    </row>
    <row r="134" spans="3:3">
      <c r="C134" s="34" t="s">
        <v>80</v>
      </c>
    </row>
    <row r="135" spans="3:3">
      <c r="C135" s="34"/>
    </row>
    <row r="136" spans="3:3">
      <c r="C136" s="34"/>
    </row>
    <row r="137" spans="3:3">
      <c r="C137" s="38"/>
    </row>
    <row r="138" spans="3:3">
      <c r="C138" s="38" t="s">
        <v>81</v>
      </c>
    </row>
    <row r="139" spans="3:3">
      <c r="C139" s="38"/>
    </row>
    <row r="140" spans="3:3">
      <c r="C140" s="38" t="s">
        <v>94</v>
      </c>
    </row>
    <row r="141" spans="3:3">
      <c r="C141" s="38"/>
    </row>
    <row r="142" spans="3:3">
      <c r="C142" s="38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98BB-3A20-4D76-8215-6C7E8708AAB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1</vt:lpstr>
      <vt:lpstr>Lab 1 Questions</vt:lpstr>
      <vt:lpstr>Lab 2 Annapurna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Thapa</dc:creator>
  <cp:lastModifiedBy>Sanjeev Thapa</cp:lastModifiedBy>
  <dcterms:created xsi:type="dcterms:W3CDTF">2025-11-01T23:51:31Z</dcterms:created>
  <dcterms:modified xsi:type="dcterms:W3CDTF">2025-11-02T00:24:23Z</dcterms:modified>
</cp:coreProperties>
</file>