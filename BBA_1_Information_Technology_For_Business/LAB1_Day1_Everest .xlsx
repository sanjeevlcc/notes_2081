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UHD\Desktop\Artificial intelligence\MDC BBA1_Excel_Trainings\"/>
    </mc:Choice>
  </mc:AlternateContent>
  <xr:revisionPtr revIDLastSave="0" documentId="13_ncr:1_{F1F00992-3212-42D0-8D9E-30D14E32F629}" xr6:coauthVersionLast="47" xr6:coauthVersionMax="47" xr10:uidLastSave="{00000000-0000-0000-0000-000000000000}"/>
  <bookViews>
    <workbookView xWindow="0" yWindow="300" windowWidth="17355" windowHeight="9600" activeTab="1" xr2:uid="{00000000-000D-0000-FFFF-FFFF00000000}"/>
  </bookViews>
  <sheets>
    <sheet name="Lab 1" sheetId="1" r:id="rId1"/>
    <sheet name="Lab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F14" i="2"/>
  <c r="F15" i="2"/>
  <c r="G15" i="2" s="1"/>
  <c r="H15" i="2" s="1"/>
  <c r="G10" i="2"/>
  <c r="G11" i="2"/>
  <c r="G12" i="2"/>
  <c r="G13" i="2"/>
  <c r="H13" i="2" s="1"/>
  <c r="G14" i="2"/>
  <c r="H3" i="2"/>
  <c r="H4" i="2"/>
  <c r="H5" i="2"/>
  <c r="H6" i="2"/>
  <c r="H7" i="2"/>
  <c r="H8" i="2"/>
  <c r="H9" i="2"/>
  <c r="H10" i="2"/>
  <c r="H11" i="2"/>
  <c r="H12" i="2"/>
  <c r="H14" i="2"/>
  <c r="H2" i="2"/>
  <c r="G3" i="2"/>
  <c r="G4" i="2"/>
  <c r="G5" i="2"/>
  <c r="G6" i="2"/>
  <c r="G7" i="2"/>
  <c r="G8" i="2"/>
  <c r="G9" i="2"/>
  <c r="G2" i="2"/>
  <c r="F3" i="2"/>
  <c r="F4" i="2"/>
  <c r="F5" i="2"/>
  <c r="F6" i="2"/>
  <c r="F7" i="2"/>
  <c r="F8" i="2"/>
  <c r="F9" i="2"/>
  <c r="F10" i="2"/>
  <c r="F11" i="2"/>
  <c r="F2" i="2"/>
  <c r="I3" i="1"/>
  <c r="I4" i="1"/>
  <c r="I5" i="1"/>
  <c r="I6" i="1"/>
  <c r="I7" i="1"/>
  <c r="I8" i="1"/>
  <c r="I2" i="1"/>
  <c r="H3" i="1"/>
  <c r="H4" i="1"/>
  <c r="H5" i="1"/>
  <c r="H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<sst xmlns="http://schemas.openxmlformats.org/spreadsheetml/2006/main" count="52" uniqueCount="51">
  <si>
    <t>S.No</t>
  </si>
  <si>
    <t>Name</t>
  </si>
  <si>
    <t>Maths</t>
  </si>
  <si>
    <t>Accounts</t>
  </si>
  <si>
    <t>Economics</t>
  </si>
  <si>
    <t>Finance</t>
  </si>
  <si>
    <t>Ramesh Thapa</t>
  </si>
  <si>
    <t>Sarita Kunwar</t>
  </si>
  <si>
    <t>Manoj Shrestha</t>
  </si>
  <si>
    <t>Anisha Rana</t>
  </si>
  <si>
    <t>Prakash Giri</t>
  </si>
  <si>
    <t>Nisha KC</t>
  </si>
  <si>
    <t>Dipesh Gurung</t>
  </si>
  <si>
    <t>Manita Basnet</t>
  </si>
  <si>
    <t>Krish Adhikari</t>
  </si>
  <si>
    <t>Sunil Chaudhary</t>
  </si>
  <si>
    <t>Laxmi Oli</t>
  </si>
  <si>
    <t>Alisha Shrestha</t>
  </si>
  <si>
    <t>Sajina Rana</t>
  </si>
  <si>
    <t>Milan Joshi</t>
  </si>
  <si>
    <t>Ujjwal BK</t>
  </si>
  <si>
    <t>Total</t>
  </si>
  <si>
    <t>Result</t>
  </si>
  <si>
    <t>Division</t>
  </si>
  <si>
    <t>Item Name</t>
  </si>
  <si>
    <t>Quantity</t>
  </si>
  <si>
    <t>Rate (Rs.)</t>
  </si>
  <si>
    <t>Pen Box</t>
  </si>
  <si>
    <t>A4 Paper Pack</t>
  </si>
  <si>
    <t>Marker Set</t>
  </si>
  <si>
    <t>Stapler</t>
  </si>
  <si>
    <t>Calculator</t>
  </si>
  <si>
    <t>Notebook Bundle</t>
  </si>
  <si>
    <t>Whiteboard</t>
  </si>
  <si>
    <t>Glue Sticks</t>
  </si>
  <si>
    <t>Highlighter Pack</t>
  </si>
  <si>
    <t>Envelopes (100 pcs)</t>
  </si>
  <si>
    <t>File Folders</t>
  </si>
  <si>
    <t>Stamp Pad</t>
  </si>
  <si>
    <t>Printer Ink Cartridge</t>
  </si>
  <si>
    <t>Toner Cartridge</t>
  </si>
  <si>
    <t>Sticky Notes Pack</t>
  </si>
  <si>
    <t>USB Flash Drive</t>
  </si>
  <si>
    <t>External Hard Disk</t>
  </si>
  <si>
    <t>Power Extension Board</t>
  </si>
  <si>
    <t>Office Chair Cushion</t>
  </si>
  <si>
    <t>Desk Organizer</t>
  </si>
  <si>
    <t>Discount %</t>
  </si>
  <si>
    <t>Amount</t>
  </si>
  <si>
    <t>Discount Amount</t>
  </si>
  <si>
    <t>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</si>
</sst>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14"/>
      <color theme="3" tint="0.3999755851924192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/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H16" sqref="H16"/>
    </sheetView>
  </sheetViews>
  <sheetFormatPr defaultRowHeight="15" x14ac:dyDescent="0.25"/>
  <cols>
    <col min="2" max="2" width="31.140625" customWidth="1"/>
    <col min="3" max="3" width="13.5703125" customWidth="1"/>
    <col min="4" max="4" width="15.5703125" customWidth="1"/>
    <col min="5" max="5" width="18.7109375" customWidth="1"/>
    <col min="6" max="6" width="13.140625" customWidth="1"/>
    <col min="9" max="9" width="21.85546875" customWidth="1"/>
  </cols>
  <sheetData>
    <row r="1" spans="1:9" s="2" customFormat="1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21</v>
      </c>
      <c r="H1" s="4" t="s">
        <v>22</v>
      </c>
      <c r="I1" s="4" t="s">
        <v>23</v>
      </c>
    </row>
    <row r="2" spans="1:9" x14ac:dyDescent="0.25">
      <c r="A2" s="5">
        <v>1</v>
      </c>
      <c r="B2" s="5" t="s">
        <v>6</v>
      </c>
      <c r="C2" s="5">
        <v>78</v>
      </c>
      <c r="D2" s="5">
        <v>65</v>
      </c>
      <c r="E2" s="5">
        <v>72</v>
      </c>
      <c r="F2" s="5">
        <v>80</v>
      </c>
      <c r="G2" s="6">
        <f>SUM(C2:F2)</f>
        <v>295</v>
      </c>
      <c r="H2" s="6" t="str">
        <f>IF(AND(C2&gt;=40, D2&gt;=40, E2&gt;=40, F2&gt;=40), "PASS", "FAIL")</f>
        <v>PASS</v>
      </c>
      <c r="I2" s="6" t="str">
        <f>IF(H2="FAIL","FAIL",
IF(G2&gt;=300,"DISTINCTION",
IF(G2&gt;=240,"FIRST",
IF(G2&gt;=200,"SECOND","FAIL"))))</f>
        <v>FIRST</v>
      </c>
    </row>
    <row r="3" spans="1:9" x14ac:dyDescent="0.25">
      <c r="A3" s="5">
        <v>2</v>
      </c>
      <c r="B3" s="5" t="s">
        <v>7</v>
      </c>
      <c r="C3" s="5">
        <v>55</v>
      </c>
      <c r="D3" s="5">
        <v>48</v>
      </c>
      <c r="E3" s="5">
        <v>60</v>
      </c>
      <c r="F3" s="5">
        <v>52</v>
      </c>
      <c r="G3" s="6">
        <f t="shared" ref="G3:G6" si="0">SUM(C3:F3)</f>
        <v>215</v>
      </c>
      <c r="H3" s="6" t="str">
        <f t="shared" ref="H3:H5" si="1">IF(AND(C3&gt;=40, D3&gt;=40, E3&gt;=40, F3&gt;=40), "PASS", "FAIL")</f>
        <v>PASS</v>
      </c>
      <c r="I3" s="6" t="str">
        <f t="shared" ref="I3:I8" si="2">IF(H3="FAIL","FAIL",
IF(G3&gt;=300,"DISTINCTION",
IF(G3&gt;=240,"FIRST",
IF(G3&gt;=200,"SECOND","FAIL"))))</f>
        <v>SECOND</v>
      </c>
    </row>
    <row r="4" spans="1:9" x14ac:dyDescent="0.25">
      <c r="A4" s="5">
        <v>3</v>
      </c>
      <c r="B4" s="5" t="s">
        <v>8</v>
      </c>
      <c r="C4" s="5">
        <v>35</v>
      </c>
      <c r="D4" s="5">
        <v>42</v>
      </c>
      <c r="E4" s="5">
        <v>38</v>
      </c>
      <c r="F4" s="5">
        <v>41</v>
      </c>
      <c r="G4" s="6">
        <f t="shared" si="0"/>
        <v>156</v>
      </c>
      <c r="H4" s="6" t="str">
        <f t="shared" si="1"/>
        <v>FAIL</v>
      </c>
      <c r="I4" s="6" t="str">
        <f t="shared" si="2"/>
        <v>FAIL</v>
      </c>
    </row>
    <row r="5" spans="1:9" x14ac:dyDescent="0.25">
      <c r="A5" s="5">
        <v>4</v>
      </c>
      <c r="B5" s="5" t="s">
        <v>9</v>
      </c>
      <c r="C5" s="5">
        <v>88</v>
      </c>
      <c r="D5" s="5">
        <v>92</v>
      </c>
      <c r="E5" s="5">
        <v>85</v>
      </c>
      <c r="F5" s="5">
        <v>90</v>
      </c>
      <c r="G5" s="6">
        <f t="shared" si="0"/>
        <v>355</v>
      </c>
      <c r="H5" s="6" t="str">
        <f t="shared" si="1"/>
        <v>PASS</v>
      </c>
      <c r="I5" s="6" t="str">
        <f t="shared" si="2"/>
        <v>DISTINCTION</v>
      </c>
    </row>
    <row r="6" spans="1:9" x14ac:dyDescent="0.25">
      <c r="A6" s="5">
        <v>5</v>
      </c>
      <c r="B6" s="5" t="s">
        <v>10</v>
      </c>
      <c r="C6" s="5">
        <v>67</v>
      </c>
      <c r="D6" s="5">
        <v>58</v>
      </c>
      <c r="E6" s="5">
        <v>62</v>
      </c>
      <c r="F6" s="5">
        <v>70</v>
      </c>
      <c r="G6" s="6">
        <f t="shared" si="0"/>
        <v>257</v>
      </c>
      <c r="H6" s="6"/>
      <c r="I6" s="6" t="str">
        <f t="shared" si="2"/>
        <v>FIRST</v>
      </c>
    </row>
    <row r="7" spans="1:9" x14ac:dyDescent="0.25">
      <c r="A7" s="5">
        <v>6</v>
      </c>
      <c r="B7" s="5" t="s">
        <v>11</v>
      </c>
      <c r="C7" s="5">
        <v>45</v>
      </c>
      <c r="D7" s="5">
        <v>40</v>
      </c>
      <c r="E7" s="5">
        <v>39</v>
      </c>
      <c r="F7" s="5">
        <v>50</v>
      </c>
      <c r="G7" s="6"/>
      <c r="H7" s="6"/>
      <c r="I7" s="6" t="str">
        <f t="shared" si="2"/>
        <v>FAIL</v>
      </c>
    </row>
    <row r="8" spans="1:9" x14ac:dyDescent="0.25">
      <c r="A8" s="5">
        <v>7</v>
      </c>
      <c r="B8" s="5" t="s">
        <v>12</v>
      </c>
      <c r="C8" s="5">
        <v>90</v>
      </c>
      <c r="D8" s="5">
        <v>78</v>
      </c>
      <c r="E8" s="5">
        <v>82</v>
      </c>
      <c r="F8" s="5">
        <v>89</v>
      </c>
      <c r="G8" s="6"/>
      <c r="H8" s="6"/>
      <c r="I8" s="6" t="str">
        <f t="shared" si="2"/>
        <v>FAIL</v>
      </c>
    </row>
    <row r="9" spans="1:9" x14ac:dyDescent="0.25">
      <c r="A9" s="5">
        <v>8</v>
      </c>
      <c r="B9" s="5" t="s">
        <v>13</v>
      </c>
      <c r="C9" s="5">
        <v>72</v>
      </c>
      <c r="D9" s="5">
        <v>60</v>
      </c>
      <c r="E9" s="5">
        <v>55</v>
      </c>
      <c r="F9" s="5">
        <v>68</v>
      </c>
      <c r="G9" s="6"/>
      <c r="H9" s="6"/>
      <c r="I9" s="6"/>
    </row>
    <row r="10" spans="1:9" x14ac:dyDescent="0.25">
      <c r="A10" s="5">
        <v>9</v>
      </c>
      <c r="B10" s="5" t="s">
        <v>14</v>
      </c>
      <c r="C10" s="5">
        <v>38</v>
      </c>
      <c r="D10" s="5">
        <v>36</v>
      </c>
      <c r="E10" s="5">
        <v>40</v>
      </c>
      <c r="F10" s="5">
        <v>44</v>
      </c>
      <c r="G10" s="6"/>
      <c r="H10" s="6"/>
      <c r="I10" s="6"/>
    </row>
    <row r="11" spans="1:9" x14ac:dyDescent="0.25">
      <c r="A11" s="5">
        <v>10</v>
      </c>
      <c r="B11" s="5" t="s">
        <v>15</v>
      </c>
      <c r="C11" s="5">
        <v>65</v>
      </c>
      <c r="D11" s="5">
        <v>70</v>
      </c>
      <c r="E11" s="5">
        <v>68</v>
      </c>
      <c r="F11" s="5">
        <v>75</v>
      </c>
      <c r="G11" s="6"/>
      <c r="H11" s="6"/>
      <c r="I11" s="6"/>
    </row>
    <row r="12" spans="1:9" x14ac:dyDescent="0.25">
      <c r="A12" s="5">
        <v>11</v>
      </c>
      <c r="B12" s="5" t="s">
        <v>16</v>
      </c>
      <c r="C12" s="5">
        <v>92</v>
      </c>
      <c r="D12" s="5">
        <v>88</v>
      </c>
      <c r="E12" s="5">
        <v>90</v>
      </c>
      <c r="F12" s="5">
        <v>95</v>
      </c>
      <c r="G12" s="6"/>
      <c r="H12" s="6"/>
      <c r="I12" s="6"/>
    </row>
    <row r="13" spans="1:9" x14ac:dyDescent="0.25">
      <c r="A13" s="5">
        <v>12</v>
      </c>
      <c r="B13" s="5" t="s">
        <v>17</v>
      </c>
      <c r="C13" s="5">
        <v>52</v>
      </c>
      <c r="D13" s="5">
        <v>45</v>
      </c>
      <c r="E13" s="5">
        <v>40</v>
      </c>
      <c r="F13" s="5">
        <v>55</v>
      </c>
      <c r="G13" s="6"/>
      <c r="H13" s="6"/>
      <c r="I13" s="6"/>
    </row>
    <row r="14" spans="1:9" x14ac:dyDescent="0.25">
      <c r="A14" s="5">
        <v>13</v>
      </c>
      <c r="B14" s="5" t="s">
        <v>18</v>
      </c>
      <c r="C14" s="5">
        <v>81</v>
      </c>
      <c r="D14" s="5">
        <v>74</v>
      </c>
      <c r="E14" s="5">
        <v>76</v>
      </c>
      <c r="F14" s="5">
        <v>79</v>
      </c>
      <c r="G14" s="6"/>
      <c r="H14" s="6"/>
      <c r="I14" s="6"/>
    </row>
    <row r="15" spans="1:9" x14ac:dyDescent="0.25">
      <c r="A15" s="5">
        <v>14</v>
      </c>
      <c r="B15" s="5" t="s">
        <v>19</v>
      </c>
      <c r="C15" s="5">
        <v>60</v>
      </c>
      <c r="D15" s="5">
        <v>55</v>
      </c>
      <c r="E15" s="5">
        <v>52</v>
      </c>
      <c r="F15" s="5">
        <v>58</v>
      </c>
      <c r="G15" s="6"/>
      <c r="H15" s="6"/>
      <c r="I15" s="6"/>
    </row>
    <row r="16" spans="1:9" x14ac:dyDescent="0.25">
      <c r="A16" s="5">
        <v>15</v>
      </c>
      <c r="B16" s="5" t="s">
        <v>20</v>
      </c>
      <c r="C16" s="5">
        <v>33</v>
      </c>
      <c r="D16" s="5">
        <v>28</v>
      </c>
      <c r="E16" s="5">
        <v>40</v>
      </c>
      <c r="F16" s="5">
        <v>35</v>
      </c>
      <c r="G16" s="6"/>
      <c r="H16" s="6"/>
      <c r="I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7A83-5CE9-436A-A043-311798E3F731}">
  <dimension ref="A1:H21"/>
  <sheetViews>
    <sheetView tabSelected="1" workbookViewId="0">
      <selection activeCell="F5" sqref="F5"/>
    </sheetView>
  </sheetViews>
  <sheetFormatPr defaultRowHeight="15" x14ac:dyDescent="0.25"/>
  <cols>
    <col min="2" max="2" width="32" customWidth="1"/>
    <col min="3" max="3" width="19.140625" customWidth="1"/>
    <col min="4" max="4" width="18.140625" customWidth="1"/>
    <col min="5" max="5" width="14.85546875" customWidth="1"/>
    <col min="6" max="6" width="16.28515625" customWidth="1"/>
    <col min="7" max="7" width="23.28515625" customWidth="1"/>
  </cols>
  <sheetData>
    <row r="1" spans="1:8" s="11" customFormat="1" ht="18.75" x14ac:dyDescent="0.3">
      <c r="A1" s="9" t="s">
        <v>0</v>
      </c>
      <c r="B1" s="9" t="s">
        <v>24</v>
      </c>
      <c r="C1" s="9" t="s">
        <v>25</v>
      </c>
      <c r="D1" s="9" t="s">
        <v>26</v>
      </c>
      <c r="E1" s="1" t="s">
        <v>47</v>
      </c>
      <c r="F1" s="10" t="s">
        <v>48</v>
      </c>
      <c r="G1" s="10" t="s">
        <v>49</v>
      </c>
      <c r="H1" s="10" t="s">
        <v>50</v>
      </c>
    </row>
    <row r="2" spans="1:8" x14ac:dyDescent="0.25">
      <c r="A2" s="5">
        <v>1</v>
      </c>
      <c r="B2" s="5" t="s">
        <v>27</v>
      </c>
      <c r="C2" s="5">
        <v>10</v>
      </c>
      <c r="D2" s="5">
        <v>120</v>
      </c>
      <c r="E2" s="8">
        <v>0.05</v>
      </c>
      <c r="F2">
        <f>C2*D2</f>
        <v>1200</v>
      </c>
      <c r="G2">
        <f xml:space="preserve"> E2 * F2</f>
        <v>60</v>
      </c>
      <c r="H2" s="7">
        <f xml:space="preserve"> E2 - G2</f>
        <v>-59.95</v>
      </c>
    </row>
    <row r="3" spans="1:8" x14ac:dyDescent="0.25">
      <c r="A3" s="5">
        <v>2</v>
      </c>
      <c r="B3" s="5" t="s">
        <v>28</v>
      </c>
      <c r="C3" s="5">
        <v>6</v>
      </c>
      <c r="D3" s="5">
        <v>450</v>
      </c>
      <c r="E3" s="8">
        <v>0.1</v>
      </c>
      <c r="F3">
        <f t="shared" ref="F3:F15" si="0">C3*D3</f>
        <v>2700</v>
      </c>
      <c r="G3">
        <f t="shared" ref="G3:G15" si="1" xml:space="preserve"> E3 * F3</f>
        <v>270</v>
      </c>
      <c r="H3" s="7">
        <f t="shared" ref="H3:H15" si="2" xml:space="preserve"> E3 - G3</f>
        <v>-269.89999999999998</v>
      </c>
    </row>
    <row r="4" spans="1:8" x14ac:dyDescent="0.25">
      <c r="A4" s="5">
        <v>3</v>
      </c>
      <c r="B4" s="5" t="s">
        <v>29</v>
      </c>
      <c r="C4" s="5">
        <v>12</v>
      </c>
      <c r="D4" s="5">
        <v>85</v>
      </c>
      <c r="E4" s="8">
        <v>0</v>
      </c>
      <c r="F4">
        <f t="shared" si="0"/>
        <v>1020</v>
      </c>
      <c r="G4">
        <f t="shared" si="1"/>
        <v>0</v>
      </c>
      <c r="H4" s="7">
        <f t="shared" si="2"/>
        <v>0</v>
      </c>
    </row>
    <row r="5" spans="1:8" x14ac:dyDescent="0.25">
      <c r="A5" s="5">
        <v>4</v>
      </c>
      <c r="B5" s="5" t="s">
        <v>30</v>
      </c>
      <c r="C5" s="5">
        <v>5</v>
      </c>
      <c r="D5" s="5">
        <v>220</v>
      </c>
      <c r="E5" s="8">
        <v>0.05</v>
      </c>
      <c r="F5">
        <f t="shared" si="0"/>
        <v>1100</v>
      </c>
      <c r="G5">
        <f t="shared" si="1"/>
        <v>55</v>
      </c>
      <c r="H5" s="7">
        <f t="shared" si="2"/>
        <v>-54.95</v>
      </c>
    </row>
    <row r="6" spans="1:8" x14ac:dyDescent="0.25">
      <c r="A6" s="5">
        <v>5</v>
      </c>
      <c r="B6" s="5" t="s">
        <v>31</v>
      </c>
      <c r="C6" s="5">
        <v>3</v>
      </c>
      <c r="D6" s="5">
        <v>750</v>
      </c>
      <c r="E6" s="8">
        <v>0.08</v>
      </c>
      <c r="F6">
        <f t="shared" si="0"/>
        <v>2250</v>
      </c>
      <c r="G6">
        <f t="shared" si="1"/>
        <v>180</v>
      </c>
      <c r="H6" s="7">
        <f t="shared" si="2"/>
        <v>-179.92</v>
      </c>
    </row>
    <row r="7" spans="1:8" x14ac:dyDescent="0.25">
      <c r="A7" s="5">
        <v>6</v>
      </c>
      <c r="B7" s="5" t="s">
        <v>32</v>
      </c>
      <c r="C7" s="5">
        <v>20</v>
      </c>
      <c r="D7" s="5">
        <v>55</v>
      </c>
      <c r="E7" s="8">
        <v>0</v>
      </c>
      <c r="F7">
        <f t="shared" si="0"/>
        <v>1100</v>
      </c>
      <c r="G7">
        <f t="shared" si="1"/>
        <v>0</v>
      </c>
      <c r="H7" s="7">
        <f t="shared" si="2"/>
        <v>0</v>
      </c>
    </row>
    <row r="8" spans="1:8" x14ac:dyDescent="0.25">
      <c r="A8" s="5">
        <v>7</v>
      </c>
      <c r="B8" s="5" t="s">
        <v>33</v>
      </c>
      <c r="C8" s="5">
        <v>2</v>
      </c>
      <c r="D8" s="5">
        <v>1500</v>
      </c>
      <c r="E8" s="8">
        <v>0.1</v>
      </c>
      <c r="F8">
        <f t="shared" si="0"/>
        <v>3000</v>
      </c>
      <c r="G8">
        <f t="shared" si="1"/>
        <v>300</v>
      </c>
      <c r="H8" s="7">
        <f t="shared" si="2"/>
        <v>-299.89999999999998</v>
      </c>
    </row>
    <row r="9" spans="1:8" x14ac:dyDescent="0.25">
      <c r="A9" s="5">
        <v>8</v>
      </c>
      <c r="B9" s="5" t="s">
        <v>34</v>
      </c>
      <c r="C9" s="5">
        <v>25</v>
      </c>
      <c r="D9" s="5">
        <v>25</v>
      </c>
      <c r="E9" s="8">
        <v>0</v>
      </c>
      <c r="F9">
        <f t="shared" si="0"/>
        <v>625</v>
      </c>
      <c r="G9">
        <f t="shared" si="1"/>
        <v>0</v>
      </c>
      <c r="H9" s="7">
        <f t="shared" si="2"/>
        <v>0</v>
      </c>
    </row>
    <row r="10" spans="1:8" x14ac:dyDescent="0.25">
      <c r="A10" s="5">
        <v>9</v>
      </c>
      <c r="B10" s="5" t="s">
        <v>35</v>
      </c>
      <c r="C10" s="5">
        <v>8</v>
      </c>
      <c r="D10" s="5">
        <v>95</v>
      </c>
      <c r="E10" s="8">
        <v>0.05</v>
      </c>
      <c r="F10">
        <f t="shared" si="0"/>
        <v>760</v>
      </c>
      <c r="G10">
        <f t="shared" si="1"/>
        <v>38</v>
      </c>
      <c r="H10" s="7">
        <f t="shared" si="2"/>
        <v>-37.950000000000003</v>
      </c>
    </row>
    <row r="11" spans="1:8" x14ac:dyDescent="0.25">
      <c r="A11" s="5">
        <v>10</v>
      </c>
      <c r="B11" s="5" t="s">
        <v>36</v>
      </c>
      <c r="C11" s="5">
        <v>1</v>
      </c>
      <c r="D11" s="5">
        <v>180</v>
      </c>
      <c r="E11" s="8">
        <v>0</v>
      </c>
      <c r="F11">
        <f t="shared" si="0"/>
        <v>180</v>
      </c>
      <c r="G11">
        <f t="shared" si="1"/>
        <v>0</v>
      </c>
      <c r="H11" s="7">
        <f t="shared" si="2"/>
        <v>0</v>
      </c>
    </row>
    <row r="12" spans="1:8" x14ac:dyDescent="0.25">
      <c r="A12" s="5">
        <v>11</v>
      </c>
      <c r="B12" s="5" t="s">
        <v>37</v>
      </c>
      <c r="C12" s="5">
        <v>30</v>
      </c>
      <c r="D12" s="5">
        <v>18</v>
      </c>
      <c r="E12" s="8">
        <v>0.02</v>
      </c>
      <c r="F12">
        <f t="shared" si="0"/>
        <v>540</v>
      </c>
      <c r="G12">
        <f t="shared" si="1"/>
        <v>10.8</v>
      </c>
      <c r="H12" s="7">
        <f t="shared" si="2"/>
        <v>-10.780000000000001</v>
      </c>
    </row>
    <row r="13" spans="1:8" x14ac:dyDescent="0.25">
      <c r="A13" s="5">
        <v>12</v>
      </c>
      <c r="B13" s="5" t="s">
        <v>38</v>
      </c>
      <c r="C13" s="5">
        <v>4</v>
      </c>
      <c r="D13" s="5">
        <v>150</v>
      </c>
      <c r="E13" s="8">
        <v>0</v>
      </c>
      <c r="F13">
        <f t="shared" si="0"/>
        <v>600</v>
      </c>
      <c r="G13">
        <f t="shared" si="1"/>
        <v>0</v>
      </c>
      <c r="H13" s="7">
        <f t="shared" si="2"/>
        <v>0</v>
      </c>
    </row>
    <row r="14" spans="1:8" x14ac:dyDescent="0.25">
      <c r="A14" s="5">
        <v>13</v>
      </c>
      <c r="B14" s="5" t="s">
        <v>39</v>
      </c>
      <c r="C14" s="5">
        <v>2</v>
      </c>
      <c r="D14" s="5">
        <v>1100</v>
      </c>
      <c r="E14" s="8">
        <v>0.05</v>
      </c>
      <c r="F14">
        <f t="shared" si="0"/>
        <v>2200</v>
      </c>
      <c r="G14">
        <f t="shared" si="1"/>
        <v>110</v>
      </c>
      <c r="H14" s="7">
        <f t="shared" si="2"/>
        <v>-109.95</v>
      </c>
    </row>
    <row r="15" spans="1:8" x14ac:dyDescent="0.25">
      <c r="A15" s="5">
        <v>14</v>
      </c>
      <c r="B15" s="5" t="s">
        <v>40</v>
      </c>
      <c r="C15" s="5">
        <v>1</v>
      </c>
      <c r="D15" s="5">
        <v>3500</v>
      </c>
      <c r="E15" s="8">
        <v>0.08</v>
      </c>
      <c r="F15">
        <f t="shared" si="0"/>
        <v>3500</v>
      </c>
      <c r="G15">
        <f t="shared" si="1"/>
        <v>280</v>
      </c>
      <c r="H15" s="7">
        <f t="shared" si="2"/>
        <v>-279.92</v>
      </c>
    </row>
    <row r="16" spans="1:8" x14ac:dyDescent="0.25">
      <c r="A16" s="5">
        <v>15</v>
      </c>
      <c r="B16" s="5" t="s">
        <v>41</v>
      </c>
      <c r="C16" s="5">
        <v>15</v>
      </c>
      <c r="D16" s="5">
        <v>35</v>
      </c>
      <c r="E16" s="8">
        <v>0</v>
      </c>
    </row>
    <row r="17" spans="1:5" x14ac:dyDescent="0.25">
      <c r="A17" s="5">
        <v>16</v>
      </c>
      <c r="B17" s="5" t="s">
        <v>42</v>
      </c>
      <c r="C17" s="5">
        <v>3</v>
      </c>
      <c r="D17" s="5">
        <v>950</v>
      </c>
      <c r="E17" s="8">
        <v>0.05</v>
      </c>
    </row>
    <row r="18" spans="1:5" x14ac:dyDescent="0.25">
      <c r="A18" s="5">
        <v>17</v>
      </c>
      <c r="B18" s="5" t="s">
        <v>43</v>
      </c>
      <c r="C18" s="5">
        <v>1</v>
      </c>
      <c r="D18" s="5">
        <v>5500</v>
      </c>
      <c r="E18" s="8">
        <v>0.1</v>
      </c>
    </row>
    <row r="19" spans="1:5" x14ac:dyDescent="0.25">
      <c r="A19" s="5">
        <v>18</v>
      </c>
      <c r="B19" s="5" t="s">
        <v>44</v>
      </c>
      <c r="C19" s="5">
        <v>2</v>
      </c>
      <c r="D19" s="5">
        <v>650</v>
      </c>
      <c r="E19" s="8">
        <v>0</v>
      </c>
    </row>
    <row r="20" spans="1:5" x14ac:dyDescent="0.25">
      <c r="A20" s="5">
        <v>19</v>
      </c>
      <c r="B20" s="5" t="s">
        <v>45</v>
      </c>
      <c r="C20" s="5">
        <v>5</v>
      </c>
      <c r="D20" s="5">
        <v>300</v>
      </c>
      <c r="E20" s="8">
        <v>0.05</v>
      </c>
    </row>
    <row r="21" spans="1:5" x14ac:dyDescent="0.25">
      <c r="A21" s="5">
        <v>20</v>
      </c>
      <c r="B21" s="5" t="s">
        <v>46</v>
      </c>
      <c r="C21" s="5">
        <v>4</v>
      </c>
      <c r="D21" s="5">
        <v>250</v>
      </c>
      <c r="E21" s="8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 1</vt:lpstr>
      <vt:lpstr>Lab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AMUHD</dc:creator>
  <cp:lastModifiedBy>Sanjeev Thapa</cp:lastModifiedBy>
  <dcterms:created xsi:type="dcterms:W3CDTF">2015-06-05T18:17:20Z</dcterms:created>
  <dcterms:modified xsi:type="dcterms:W3CDTF">2025-12-10T22:41:43Z</dcterms:modified>
</cp:coreProperties>
</file>